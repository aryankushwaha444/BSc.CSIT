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2nd Sem\STA Lab\Practical\"/>
    </mc:Choice>
  </mc:AlternateContent>
  <xr:revisionPtr revIDLastSave="0" documentId="13_ncr:1_{BE0C4DF3-8A64-4039-BE75-DFE437E3CE80}" xr6:coauthVersionLast="47" xr6:coauthVersionMax="47" xr10:uidLastSave="{00000000-0000-0000-0000-000000000000}"/>
  <bookViews>
    <workbookView xWindow="-120" yWindow="-120" windowWidth="20730" windowHeight="11160" firstSheet="7" activeTab="12" xr2:uid="{40CE2913-D5F8-4DE5-92CF-AD035E983C03}"/>
  </bookViews>
  <sheets>
    <sheet name="Sheet2" sheetId="2" r:id="rId1"/>
    <sheet name="Sheet6" sheetId="6" r:id="rId2"/>
    <sheet name="Sheet3" sheetId="3" r:id="rId3"/>
    <sheet name="Sheet1" sheetId="1" r:id="rId4"/>
    <sheet name="Sheet4" sheetId="4" r:id="rId5"/>
    <sheet name="Sheet5" sheetId="5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3" l="1"/>
  <c r="C11" i="16"/>
  <c r="C20" i="16" s="1"/>
  <c r="C24" i="16" s="1"/>
  <c r="C10" i="5"/>
  <c r="G3" i="5"/>
  <c r="F3" i="5"/>
  <c r="E3" i="5"/>
  <c r="E8" i="5" s="1"/>
  <c r="C11" i="15"/>
  <c r="F17" i="14"/>
  <c r="F15" i="14"/>
  <c r="F14" i="14"/>
  <c r="F16" i="14"/>
  <c r="F12" i="14"/>
  <c r="F11" i="14"/>
  <c r="C18" i="12"/>
  <c r="C17" i="12"/>
  <c r="C16" i="12"/>
  <c r="C14" i="12"/>
  <c r="C15" i="16"/>
  <c r="C17" i="16" s="1"/>
  <c r="C12" i="16"/>
  <c r="B9" i="16"/>
  <c r="C9" i="16"/>
  <c r="E9" i="16"/>
  <c r="E3" i="16"/>
  <c r="E4" i="16"/>
  <c r="E5" i="16"/>
  <c r="E6" i="16"/>
  <c r="E7" i="16"/>
  <c r="E8" i="16"/>
  <c r="E2" i="16"/>
  <c r="D9" i="16"/>
  <c r="D3" i="16"/>
  <c r="D4" i="16"/>
  <c r="D5" i="16"/>
  <c r="D6" i="16"/>
  <c r="D7" i="16"/>
  <c r="D8" i="16"/>
  <c r="D2" i="16"/>
  <c r="F10" i="16"/>
  <c r="H8" i="14"/>
  <c r="H4" i="14"/>
  <c r="H5" i="14"/>
  <c r="H6" i="14"/>
  <c r="H7" i="14"/>
  <c r="H3" i="14"/>
  <c r="C8" i="14"/>
  <c r="D8" i="14"/>
  <c r="E8" i="14"/>
  <c r="F8" i="14"/>
  <c r="G8" i="14"/>
  <c r="G4" i="14"/>
  <c r="G5" i="14"/>
  <c r="G6" i="14"/>
  <c r="G7" i="14"/>
  <c r="G3" i="14"/>
  <c r="E4" i="14"/>
  <c r="E5" i="14"/>
  <c r="E6" i="14"/>
  <c r="E7" i="14"/>
  <c r="E3" i="14"/>
  <c r="B8" i="14"/>
  <c r="D14" i="5"/>
  <c r="C14" i="5"/>
  <c r="C13" i="5"/>
  <c r="C12" i="5"/>
  <c r="D8" i="5"/>
  <c r="D3" i="5"/>
  <c r="C20" i="4"/>
  <c r="C18" i="4"/>
  <c r="D16" i="4"/>
  <c r="C16" i="4"/>
  <c r="C14" i="4"/>
  <c r="C8" i="4"/>
  <c r="C11" i="4"/>
  <c r="C12" i="4" s="1"/>
  <c r="D8" i="4"/>
  <c r="D3" i="4"/>
  <c r="F7" i="1"/>
  <c r="E7" i="1"/>
  <c r="C7" i="1"/>
  <c r="B10" i="1"/>
  <c r="B11" i="1" s="1"/>
  <c r="B9" i="1"/>
  <c r="B7" i="1"/>
  <c r="C2" i="1"/>
  <c r="C16" i="2"/>
  <c r="C15" i="2"/>
  <c r="C13" i="2"/>
  <c r="C12" i="2"/>
  <c r="C10" i="2"/>
  <c r="E10" i="2"/>
  <c r="D10" i="2"/>
  <c r="E3" i="2"/>
  <c r="D3" i="2"/>
  <c r="F16" i="11"/>
  <c r="D16" i="11"/>
  <c r="F15" i="11"/>
  <c r="F14" i="11"/>
  <c r="D14" i="11"/>
  <c r="F13" i="11"/>
  <c r="D13" i="11"/>
  <c r="B16" i="10"/>
  <c r="B15" i="10"/>
  <c r="C10" i="10"/>
  <c r="C12" i="10"/>
  <c r="C11" i="10"/>
  <c r="C13" i="10" s="1"/>
  <c r="C9" i="10"/>
  <c r="C8" i="10"/>
  <c r="C20" i="9"/>
  <c r="C19" i="9"/>
  <c r="C18" i="9"/>
  <c r="D15" i="11"/>
  <c r="D5" i="6"/>
  <c r="G5" i="8"/>
  <c r="G6" i="8"/>
  <c r="G7" i="8"/>
  <c r="G4" i="8"/>
  <c r="G3" i="8"/>
  <c r="C11" i="8"/>
  <c r="F8" i="8"/>
  <c r="F4" i="8"/>
  <c r="F5" i="8"/>
  <c r="F6" i="8"/>
  <c r="F7" i="8"/>
  <c r="F3" i="8"/>
  <c r="C10" i="8"/>
  <c r="E8" i="8"/>
  <c r="E3" i="8"/>
  <c r="E4" i="8"/>
  <c r="E5" i="8"/>
  <c r="E6" i="8"/>
  <c r="E7" i="8"/>
  <c r="C9" i="8"/>
  <c r="C2" i="7"/>
  <c r="D9" i="6"/>
  <c r="D7" i="6"/>
  <c r="E4" i="5"/>
  <c r="F4" i="5" s="1"/>
  <c r="G4" i="5" s="1"/>
  <c r="C8" i="5"/>
  <c r="D4" i="5"/>
  <c r="D5" i="5"/>
  <c r="D6" i="5"/>
  <c r="D7" i="5"/>
  <c r="D4" i="4"/>
  <c r="D5" i="4"/>
  <c r="D6" i="4"/>
  <c r="D7" i="4"/>
  <c r="C12" i="3"/>
  <c r="C13" i="3" s="1"/>
  <c r="C14" i="3" s="1"/>
  <c r="C10" i="3"/>
  <c r="D9" i="3"/>
  <c r="E9" i="3" s="1"/>
  <c r="E8" i="3"/>
  <c r="D8" i="3"/>
  <c r="D7" i="3"/>
  <c r="E7" i="3" s="1"/>
  <c r="E6" i="3"/>
  <c r="D6" i="3"/>
  <c r="E5" i="3"/>
  <c r="D5" i="3"/>
  <c r="E4" i="3"/>
  <c r="D4" i="3"/>
  <c r="E3" i="3"/>
  <c r="E10" i="3" s="1"/>
  <c r="D3" i="3"/>
  <c r="D10" i="3" s="1"/>
  <c r="E9" i="2"/>
  <c r="D4" i="2"/>
  <c r="E4" i="2" s="1"/>
  <c r="D5" i="2"/>
  <c r="E5" i="2" s="1"/>
  <c r="D6" i="2"/>
  <c r="E6" i="2" s="1"/>
  <c r="D7" i="2"/>
  <c r="E7" i="2" s="1"/>
  <c r="D8" i="2"/>
  <c r="E8" i="2" s="1"/>
  <c r="D9" i="2"/>
  <c r="C3" i="1"/>
  <c r="C4" i="1"/>
  <c r="C5" i="1"/>
  <c r="C6" i="1"/>
  <c r="D13" i="5" l="1"/>
  <c r="C19" i="16"/>
  <c r="C14" i="16"/>
  <c r="E7" i="5"/>
  <c r="F7" i="5" s="1"/>
  <c r="E6" i="5"/>
  <c r="E5" i="5"/>
  <c r="E4" i="4"/>
  <c r="E3" i="4"/>
  <c r="E7" i="4"/>
  <c r="E6" i="4"/>
  <c r="E5" i="4"/>
  <c r="D2" i="1"/>
  <c r="G7" i="5"/>
  <c r="D4" i="1"/>
  <c r="E4" i="1" s="1"/>
  <c r="F4" i="1" s="1"/>
  <c r="D5" i="1"/>
  <c r="E5" i="1" s="1"/>
  <c r="F5" i="1" s="1"/>
  <c r="D6" i="1"/>
  <c r="E6" i="1" s="1"/>
  <c r="F6" i="1" s="1"/>
  <c r="D3" i="1"/>
  <c r="E3" i="1" s="1"/>
  <c r="F3" i="1" s="1"/>
  <c r="F8" i="5" l="1"/>
  <c r="G8" i="5"/>
  <c r="F6" i="5"/>
  <c r="G6" i="5" s="1"/>
  <c r="G5" i="5"/>
  <c r="F5" i="5"/>
  <c r="E2" i="1"/>
  <c r="F2" i="1" s="1"/>
  <c r="D7" i="1"/>
  <c r="F14" i="3"/>
  <c r="F14" i="3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<sst xmlns="http://schemas.openxmlformats.org/spreadsheetml/2006/main" count="161" uniqueCount="98">
  <si>
    <t>X</t>
  </si>
  <si>
    <t>F</t>
  </si>
  <si>
    <t>FX</t>
  </si>
  <si>
    <t>P(X=x)</t>
  </si>
  <si>
    <t>n=</t>
  </si>
  <si>
    <t>p=</t>
  </si>
  <si>
    <t>N=</t>
  </si>
  <si>
    <t>Mean=</t>
  </si>
  <si>
    <t>q=</t>
  </si>
  <si>
    <t>N.P(X=x)</t>
  </si>
  <si>
    <t>ROUND</t>
  </si>
  <si>
    <t>a.)</t>
  </si>
  <si>
    <t>E(X)=</t>
  </si>
  <si>
    <t>X.P(X=x)</t>
  </si>
  <si>
    <t>Total</t>
  </si>
  <si>
    <t>V(X)=</t>
  </si>
  <si>
    <t>b.)</t>
  </si>
  <si>
    <t>E(4X+2)=</t>
  </si>
  <si>
    <t>c.)</t>
  </si>
  <si>
    <t>V(2X+3)=</t>
  </si>
  <si>
    <t>X^2.P(X=x)</t>
  </si>
  <si>
    <t>P(X=1)=</t>
  </si>
  <si>
    <t>P(X&lt;=1)=</t>
  </si>
  <si>
    <t>P(1&lt;X&lt;4)=</t>
  </si>
  <si>
    <t>d.)</t>
  </si>
  <si>
    <t>Round</t>
  </si>
  <si>
    <t>P(X=2)=</t>
  </si>
  <si>
    <t>P(x&lt;=2)=</t>
  </si>
  <si>
    <t>P(x&gt;2)=</t>
  </si>
  <si>
    <t>Popn</t>
  </si>
  <si>
    <t>Mean</t>
  </si>
  <si>
    <t>S.d</t>
  </si>
  <si>
    <t>P(8&lt;X&lt;10)=</t>
  </si>
  <si>
    <t>P(X&gt;9)=</t>
  </si>
  <si>
    <t>P(X&gt;10.5)=</t>
  </si>
  <si>
    <t>P(X&gt;100)=</t>
  </si>
  <si>
    <t>a</t>
  </si>
  <si>
    <t>a=</t>
  </si>
  <si>
    <t>XP(X)</t>
  </si>
  <si>
    <t>Sum=</t>
  </si>
  <si>
    <t>X^2.P(X)</t>
  </si>
  <si>
    <t>F(X)</t>
  </si>
  <si>
    <t xml:space="preserve">Mean = </t>
  </si>
  <si>
    <t xml:space="preserve">Median = </t>
  </si>
  <si>
    <t xml:space="preserve">Mode = </t>
  </si>
  <si>
    <t xml:space="preserve">S.d = </t>
  </si>
  <si>
    <t>Vr =</t>
  </si>
  <si>
    <t>Q3 =</t>
  </si>
  <si>
    <t>Q1 =</t>
  </si>
  <si>
    <t>Q.D =</t>
  </si>
  <si>
    <t>c.)  C.V =</t>
  </si>
  <si>
    <t>Plant A</t>
  </si>
  <si>
    <t>Plant B</t>
  </si>
  <si>
    <t>Mean =</t>
  </si>
  <si>
    <t>For Plant A</t>
  </si>
  <si>
    <t>Median =</t>
  </si>
  <si>
    <t>S.d =</t>
  </si>
  <si>
    <t xml:space="preserve">C.V = </t>
  </si>
  <si>
    <t>For Plant B</t>
  </si>
  <si>
    <t>Q2 =</t>
  </si>
  <si>
    <t>p(1&lt;=X&lt;4)</t>
  </si>
  <si>
    <t>Coefficient of Kurtosis</t>
  </si>
  <si>
    <t>No. of Spam email/day</t>
  </si>
  <si>
    <t>No. of days</t>
  </si>
  <si>
    <t>5-9</t>
  </si>
  <si>
    <t>15-19</t>
  </si>
  <si>
    <t>20-24</t>
  </si>
  <si>
    <t>10-14</t>
  </si>
  <si>
    <t>Lower Limit</t>
  </si>
  <si>
    <t>Upper Limit</t>
  </si>
  <si>
    <t>X(Median)</t>
  </si>
  <si>
    <t>FX^2</t>
  </si>
  <si>
    <t xml:space="preserve">(10-14) </t>
  </si>
  <si>
    <t>Mode = (42) =</t>
  </si>
  <si>
    <t>D1 =</t>
  </si>
  <si>
    <t xml:space="preserve">D2 = </t>
  </si>
  <si>
    <t xml:space="preserve">Mo = </t>
  </si>
  <si>
    <t xml:space="preserve">Skp = </t>
  </si>
  <si>
    <t>Data Size (X)</t>
  </si>
  <si>
    <t>Processed Request (Y)</t>
  </si>
  <si>
    <t xml:space="preserve">r  = </t>
  </si>
  <si>
    <t>Prodcessed requiest (Y)</t>
  </si>
  <si>
    <t xml:space="preserve">           a = </t>
  </si>
  <si>
    <t>a+bx</t>
  </si>
  <si>
    <t>Coefficient of determination (r^2) =</t>
  </si>
  <si>
    <t xml:space="preserve">r = </t>
  </si>
  <si>
    <t xml:space="preserve">e.sse = </t>
  </si>
  <si>
    <t>Y^2</t>
  </si>
  <si>
    <t>XY</t>
  </si>
  <si>
    <t>Syx  =</t>
  </si>
  <si>
    <t>e.)</t>
  </si>
  <si>
    <t xml:space="preserve">   b = </t>
  </si>
  <si>
    <t xml:space="preserve">b.)     b = </t>
  </si>
  <si>
    <t>n-K-1 = 7-1-1</t>
  </si>
  <si>
    <t>d.)   for data size is 9</t>
  </si>
  <si>
    <t xml:space="preserve">C.V of Skew = </t>
  </si>
  <si>
    <t>P10 =</t>
  </si>
  <si>
    <t xml:space="preserve">P50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</si>
</sst>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9497-9542-47AC-BFEE-740922DEB711}">
  <dimension ref="A1:E16"/>
  <sheetViews>
    <sheetView workbookViewId="0">
      <selection activeCell="I13" sqref="I13"/>
    </sheetView>
  </sheetViews>
  <sheetFormatPr defaultRowHeight="15" x14ac:dyDescent="0.25"/>
  <cols>
    <col min="5" max="5" width="9.85546875" customWidth="1"/>
  </cols>
  <sheetData>
    <row r="1" spans="1:5" x14ac:dyDescent="0.25">
      <c r="A1" s="2"/>
      <c r="B1" s="2"/>
      <c r="C1" s="2"/>
    </row>
    <row r="2" spans="1:5" x14ac:dyDescent="0.25">
      <c r="A2" s="2"/>
      <c r="B2" s="2" t="s">
        <v>0</v>
      </c>
      <c r="C2" s="2" t="s">
        <v>3</v>
      </c>
      <c r="D2" t="s">
        <v>13</v>
      </c>
      <c r="E2" s="2" t="s">
        <v>20</v>
      </c>
    </row>
    <row r="3" spans="1:5" x14ac:dyDescent="0.25">
      <c r="A3" s="2"/>
      <c r="B3" s="2">
        <v>0</v>
      </c>
      <c r="C3" s="2">
        <v>0.18</v>
      </c>
      <c r="D3">
        <f>B3*C3</f>
        <v>0</v>
      </c>
      <c r="E3">
        <f>D3*B3</f>
        <v>0</v>
      </c>
    </row>
    <row r="4" spans="1:5" x14ac:dyDescent="0.25">
      <c r="A4" s="2"/>
      <c r="B4" s="2">
        <v>1</v>
      </c>
      <c r="C4" s="2">
        <v>0.28000000000000003</v>
      </c>
      <c r="D4">
        <f t="shared" ref="D4:D9" si="0">B4*C4</f>
        <v>0.28000000000000003</v>
      </c>
      <c r="E4">
        <f t="shared" ref="E4:E9" si="1">D4*B4</f>
        <v>0.28000000000000003</v>
      </c>
    </row>
    <row r="5" spans="1:5" x14ac:dyDescent="0.25">
      <c r="A5" s="2"/>
      <c r="B5" s="2">
        <v>2</v>
      </c>
      <c r="C5" s="2">
        <v>0.25</v>
      </c>
      <c r="D5">
        <f t="shared" si="0"/>
        <v>0.5</v>
      </c>
      <c r="E5">
        <f t="shared" si="1"/>
        <v>1</v>
      </c>
    </row>
    <row r="6" spans="1:5" x14ac:dyDescent="0.25">
      <c r="A6" s="2"/>
      <c r="B6" s="2">
        <v>3</v>
      </c>
      <c r="C6" s="2">
        <v>0.18</v>
      </c>
      <c r="D6">
        <f t="shared" si="0"/>
        <v>0.54</v>
      </c>
      <c r="E6">
        <f t="shared" si="1"/>
        <v>1.62</v>
      </c>
    </row>
    <row r="7" spans="1:5" x14ac:dyDescent="0.25">
      <c r="A7" s="1"/>
      <c r="B7" s="2">
        <v>4</v>
      </c>
      <c r="C7" s="2">
        <v>0.06</v>
      </c>
      <c r="D7">
        <f t="shared" si="0"/>
        <v>0.24</v>
      </c>
      <c r="E7">
        <f t="shared" si="1"/>
        <v>0.96</v>
      </c>
    </row>
    <row r="8" spans="1:5" x14ac:dyDescent="0.25">
      <c r="B8" s="2">
        <v>5</v>
      </c>
      <c r="C8" s="2">
        <v>0.04</v>
      </c>
      <c r="D8">
        <f t="shared" si="0"/>
        <v>0.2</v>
      </c>
      <c r="E8">
        <f t="shared" si="1"/>
        <v>1</v>
      </c>
    </row>
    <row r="9" spans="1:5" x14ac:dyDescent="0.25">
      <c r="B9" s="2">
        <v>6</v>
      </c>
      <c r="C9" s="2">
        <v>0.01</v>
      </c>
      <c r="D9">
        <f t="shared" si="0"/>
        <v>0.06</v>
      </c>
      <c r="E9">
        <f t="shared" si="1"/>
        <v>0.36</v>
      </c>
    </row>
    <row r="10" spans="1:5" x14ac:dyDescent="0.25">
      <c r="B10" t="s">
        <v>14</v>
      </c>
      <c r="C10">
        <f>SUM(C3:C9)</f>
        <v>1</v>
      </c>
      <c r="D10">
        <f>SUM(D3:D9)</f>
        <v>1.82</v>
      </c>
      <c r="E10">
        <f>SUM(E3:E9)</f>
        <v>5.2200000000000006</v>
      </c>
    </row>
    <row r="12" spans="1:5" x14ac:dyDescent="0.25">
      <c r="A12" t="s">
        <v>11</v>
      </c>
      <c r="B12" t="s">
        <v>12</v>
      </c>
      <c r="C12">
        <f>D10</f>
        <v>1.82</v>
      </c>
    </row>
    <row r="13" spans="1:5" x14ac:dyDescent="0.25">
      <c r="B13" t="s">
        <v>15</v>
      </c>
      <c r="C13">
        <f>E10-D10*D10</f>
        <v>1.9076000000000004</v>
      </c>
    </row>
    <row r="15" spans="1:5" x14ac:dyDescent="0.25">
      <c r="A15" t="s">
        <v>16</v>
      </c>
      <c r="B15" t="s">
        <v>17</v>
      </c>
      <c r="C15">
        <f>4*C12+2</f>
        <v>9.2800000000000011</v>
      </c>
    </row>
    <row r="16" spans="1:5" x14ac:dyDescent="0.25">
      <c r="A16" t="s">
        <v>18</v>
      </c>
      <c r="B16" t="s">
        <v>19</v>
      </c>
      <c r="C16">
        <f>2*2*C13+3</f>
        <v>10.630400000000002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4367-9400-4805-A2A6-E6234B89A638}">
  <dimension ref="B2:D9"/>
  <sheetViews>
    <sheetView workbookViewId="0">
      <selection activeCell="D5" sqref="D5"/>
    </sheetView>
  </sheetViews>
  <sheetFormatPr defaultRowHeight="15" x14ac:dyDescent="0.25"/>
  <cols>
    <col min="3" max="3" width="11.42578125" customWidth="1"/>
  </cols>
  <sheetData>
    <row r="2" spans="2:4" x14ac:dyDescent="0.25">
      <c r="B2" t="s">
        <v>29</v>
      </c>
      <c r="C2" t="s">
        <v>30</v>
      </c>
      <c r="D2">
        <v>10</v>
      </c>
    </row>
    <row r="3" spans="2:4" x14ac:dyDescent="0.25">
      <c r="B3" t="s">
        <v>29</v>
      </c>
      <c r="C3" t="s">
        <v>31</v>
      </c>
      <c r="D3">
        <v>2</v>
      </c>
    </row>
    <row r="5" spans="2:4" x14ac:dyDescent="0.25">
      <c r="B5" t="s">
        <v>11</v>
      </c>
      <c r="C5" t="s">
        <v>32</v>
      </c>
      <c r="D5">
        <f>_xlfn.NORM.DIST(D2,10,D3,TRUE)-_xlfn.NORM.DIST(8,D2,D3,TRUE)</f>
        <v>0.34134474606854304</v>
      </c>
    </row>
    <row r="7" spans="2:4" x14ac:dyDescent="0.25">
      <c r="B7" t="s">
        <v>16</v>
      </c>
      <c r="C7" t="s">
        <v>33</v>
      </c>
      <c r="D7">
        <f>1-_xlfn.NORM.DIST(9,D2,D3,TRUE)</f>
        <v>0.69146246127401312</v>
      </c>
    </row>
    <row r="9" spans="2:4" x14ac:dyDescent="0.25">
      <c r="B9" t="s">
        <v>18</v>
      </c>
      <c r="C9" t="s">
        <v>34</v>
      </c>
      <c r="D9">
        <f>1-_xlfn.NORM.DIST(10.5,D2,D3,TRUE)</f>
        <v>0.4012936743170763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7ED9-FA70-49BB-960B-F05D27D8FEB4}">
  <dimension ref="A2:F16"/>
  <sheetViews>
    <sheetView workbookViewId="0">
      <selection activeCell="C16" sqref="C16"/>
    </sheetView>
  </sheetViews>
  <sheetFormatPr defaultRowHeight="15" x14ac:dyDescent="0.25"/>
  <sheetData>
    <row r="2" spans="1:6" x14ac:dyDescent="0.25">
      <c r="B2" s="2"/>
      <c r="C2" s="2" t="s">
        <v>3</v>
      </c>
      <c r="D2" t="s">
        <v>13</v>
      </c>
      <c r="E2" s="2" t="s">
        <v>20</v>
      </c>
    </row>
    <row r="3" spans="1:6" x14ac:dyDescent="0.25">
      <c r="B3" s="2">
        <v>0</v>
      </c>
      <c r="C3" s="2">
        <v>0.18</v>
      </c>
      <c r="D3">
        <f>B3*C3</f>
        <v>0</v>
      </c>
      <c r="E3">
        <f>D3*B3</f>
        <v>0</v>
      </c>
    </row>
    <row r="4" spans="1:6" x14ac:dyDescent="0.25">
      <c r="B4" s="2">
        <v>1</v>
      </c>
      <c r="C4" s="2">
        <v>0.28000000000000003</v>
      </c>
      <c r="D4">
        <f t="shared" ref="D4:D9" si="0">B4*C4</f>
        <v>0.28000000000000003</v>
      </c>
      <c r="E4">
        <f t="shared" ref="E4:E9" si="1">D4*B4</f>
        <v>0.28000000000000003</v>
      </c>
    </row>
    <row r="5" spans="1:6" x14ac:dyDescent="0.25">
      <c r="B5" s="2">
        <v>2</v>
      </c>
      <c r="C5" s="2">
        <v>0.25</v>
      </c>
      <c r="D5">
        <f t="shared" si="0"/>
        <v>0.5</v>
      </c>
      <c r="E5">
        <f t="shared" si="1"/>
        <v>1</v>
      </c>
    </row>
    <row r="6" spans="1:6" x14ac:dyDescent="0.25">
      <c r="B6" s="2">
        <v>3</v>
      </c>
      <c r="C6" s="2">
        <v>0.18</v>
      </c>
      <c r="D6">
        <f t="shared" si="0"/>
        <v>0.54</v>
      </c>
      <c r="E6">
        <f t="shared" si="1"/>
        <v>1.62</v>
      </c>
    </row>
    <row r="7" spans="1:6" x14ac:dyDescent="0.25">
      <c r="B7" s="2">
        <v>4</v>
      </c>
      <c r="C7" s="2">
        <v>0.06</v>
      </c>
      <c r="D7">
        <f t="shared" si="0"/>
        <v>0.24</v>
      </c>
      <c r="E7">
        <f t="shared" si="1"/>
        <v>0.96</v>
      </c>
    </row>
    <row r="8" spans="1:6" x14ac:dyDescent="0.25">
      <c r="B8" s="2">
        <v>5</v>
      </c>
      <c r="C8" s="2">
        <v>0.04</v>
      </c>
      <c r="D8">
        <f t="shared" si="0"/>
        <v>0.2</v>
      </c>
      <c r="E8">
        <f t="shared" si="1"/>
        <v>1</v>
      </c>
    </row>
    <row r="9" spans="1:6" x14ac:dyDescent="0.25">
      <c r="B9" s="2">
        <v>6</v>
      </c>
      <c r="C9" s="2">
        <v>0.01</v>
      </c>
      <c r="D9">
        <f t="shared" si="0"/>
        <v>0.06</v>
      </c>
      <c r="E9">
        <f t="shared" si="1"/>
        <v>0.36</v>
      </c>
    </row>
    <row r="10" spans="1:6" x14ac:dyDescent="0.25">
      <c r="B10" t="s">
        <v>14</v>
      </c>
      <c r="C10">
        <f>SUM(C3:C9)</f>
        <v>1</v>
      </c>
      <c r="D10">
        <f t="shared" ref="D10:E10" si="2">SUM(D3:D9)</f>
        <v>1.82</v>
      </c>
      <c r="E10">
        <f t="shared" si="2"/>
        <v>5.2200000000000006</v>
      </c>
    </row>
    <row r="11" spans="1:6" x14ac:dyDescent="0.25">
      <c r="B11" s="1" t="s">
        <v>4</v>
      </c>
      <c r="C11" s="3">
        <v>4</v>
      </c>
    </row>
    <row r="12" spans="1:6" x14ac:dyDescent="0.25">
      <c r="B12" s="1" t="s">
        <v>7</v>
      </c>
      <c r="C12" s="3">
        <f>D10/C10</f>
        <v>1.82</v>
      </c>
    </row>
    <row r="13" spans="1:6" x14ac:dyDescent="0.25">
      <c r="B13" s="1" t="s">
        <v>5</v>
      </c>
      <c r="C13" s="3">
        <f>C12/C11</f>
        <v>0.45500000000000002</v>
      </c>
    </row>
    <row r="14" spans="1:6" x14ac:dyDescent="0.25">
      <c r="B14" s="1" t="s">
        <v>8</v>
      </c>
      <c r="C14" s="3">
        <f>1-C13</f>
        <v>0.54499999999999993</v>
      </c>
      <c r="F14" cm="1">
        <f t="array" aca="1" ref="F14" ca="1">B3:F15</f>
        <v>0</v>
      </c>
    </row>
    <row r="16" spans="1:6" x14ac:dyDescent="0.25">
      <c r="A16" t="s">
        <v>11</v>
      </c>
      <c r="B16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DF6E-9AC6-464B-A003-EAE9EFE8D9EA}">
  <dimension ref="A1:F11"/>
  <sheetViews>
    <sheetView workbookViewId="0">
      <selection activeCell="F14" sqref="F14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</row>
    <row r="2" spans="1:6" x14ac:dyDescent="0.25">
      <c r="A2" s="2">
        <v>0</v>
      </c>
      <c r="B2" s="2">
        <v>14</v>
      </c>
      <c r="C2" s="2">
        <f>A2*B2</f>
        <v>0</v>
      </c>
      <c r="D2" s="2">
        <f>BINOMDIST(A2,$A$6,$B$10,FALSE)</f>
        <v>0.15989621060870915</v>
      </c>
      <c r="E2" s="2">
        <f>$B$7*D2</f>
        <v>21.745884642784443</v>
      </c>
      <c r="F2" s="2">
        <f>ROUND(E2,0)</f>
        <v>22</v>
      </c>
    </row>
    <row r="3" spans="1:6" x14ac:dyDescent="0.25">
      <c r="A3" s="2">
        <v>1</v>
      </c>
      <c r="B3" s="2">
        <v>62</v>
      </c>
      <c r="C3" s="2">
        <f t="shared" ref="C3:C6" si="0">A3*B3</f>
        <v>62</v>
      </c>
      <c r="D3" s="2">
        <f t="shared" ref="D3:D6" si="1">BINOMDIST(A3,$A$6,$B$10,FALSE)</f>
        <v>0.37185165257839342</v>
      </c>
      <c r="E3" s="2">
        <f t="shared" ref="E3:E6" si="2">$B$7*D3</f>
        <v>50.571824750661506</v>
      </c>
      <c r="F3" s="2">
        <f t="shared" ref="F3:F6" si="3">ROUND(E3,0)</f>
        <v>51</v>
      </c>
    </row>
    <row r="4" spans="1:6" x14ac:dyDescent="0.25">
      <c r="A4" s="2">
        <v>2</v>
      </c>
      <c r="B4" s="2">
        <v>46</v>
      </c>
      <c r="C4" s="2">
        <f t="shared" si="0"/>
        <v>92</v>
      </c>
      <c r="D4" s="2">
        <f t="shared" si="1"/>
        <v>0.32428923189976172</v>
      </c>
      <c r="E4" s="2">
        <f t="shared" si="2"/>
        <v>44.103335538367595</v>
      </c>
      <c r="F4" s="2">
        <f t="shared" si="3"/>
        <v>44</v>
      </c>
    </row>
    <row r="5" spans="1:6" x14ac:dyDescent="0.25">
      <c r="A5" s="2">
        <v>3</v>
      </c>
      <c r="B5" s="2">
        <v>10</v>
      </c>
      <c r="C5" s="2">
        <f t="shared" si="0"/>
        <v>30</v>
      </c>
      <c r="D5" s="2">
        <f t="shared" si="1"/>
        <v>0.12569350073634172</v>
      </c>
      <c r="E5" s="2">
        <f t="shared" si="2"/>
        <v>17.094316100142475</v>
      </c>
      <c r="F5" s="2">
        <f t="shared" si="3"/>
        <v>17</v>
      </c>
    </row>
    <row r="6" spans="1:6" x14ac:dyDescent="0.25">
      <c r="A6" s="2">
        <v>4</v>
      </c>
      <c r="B6" s="2">
        <v>4</v>
      </c>
      <c r="C6" s="2">
        <f t="shared" si="0"/>
        <v>16</v>
      </c>
      <c r="D6" s="2">
        <f t="shared" si="1"/>
        <v>1.826940417679386E-2</v>
      </c>
      <c r="E6" s="2">
        <f t="shared" si="2"/>
        <v>2.4846389680439649</v>
      </c>
      <c r="F6" s="2">
        <f t="shared" si="3"/>
        <v>2</v>
      </c>
    </row>
    <row r="7" spans="1:6" x14ac:dyDescent="0.25">
      <c r="A7" s="1" t="s">
        <v>6</v>
      </c>
      <c r="B7" s="2">
        <f>SUM(B2:B6)</f>
        <v>136</v>
      </c>
      <c r="C7" s="2">
        <f>SUM(C2:C6)</f>
        <v>200</v>
      </c>
      <c r="D7" s="2">
        <f>SUM(D2:D6)</f>
        <v>1</v>
      </c>
      <c r="E7" s="2">
        <f>SUM(E2:E6)</f>
        <v>135.99999999999997</v>
      </c>
      <c r="F7" s="2">
        <f>SUM(F2:F6)</f>
        <v>136</v>
      </c>
    </row>
    <row r="8" spans="1:6" x14ac:dyDescent="0.25">
      <c r="A8" s="1" t="s">
        <v>4</v>
      </c>
      <c r="B8" s="3">
        <v>4</v>
      </c>
    </row>
    <row r="9" spans="1:6" x14ac:dyDescent="0.25">
      <c r="A9" s="1" t="s">
        <v>7</v>
      </c>
      <c r="B9" s="3">
        <f>C7/B7</f>
        <v>1.4705882352941178</v>
      </c>
    </row>
    <row r="10" spans="1:6" x14ac:dyDescent="0.25">
      <c r="A10" s="1" t="s">
        <v>5</v>
      </c>
      <c r="B10" s="3">
        <f>B9/B8</f>
        <v>0.36764705882352944</v>
      </c>
    </row>
    <row r="11" spans="1:6" x14ac:dyDescent="0.25">
      <c r="A11" s="1" t="s">
        <v>8</v>
      </c>
      <c r="B11" s="3">
        <f>1-B10</f>
        <v>0.63235294117647056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7D4C-BD71-4019-827F-EF1D471F6943}">
  <dimension ref="A2:E20"/>
  <sheetViews>
    <sheetView zoomScaleNormal="100" workbookViewId="0">
      <selection activeCell="I12" sqref="I12"/>
    </sheetView>
  </sheetViews>
  <sheetFormatPr defaultRowHeight="15" x14ac:dyDescent="0.25"/>
  <cols>
    <col min="2" max="2" width="11.28515625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B3">
        <v>0</v>
      </c>
      <c r="C3">
        <v>14</v>
      </c>
      <c r="D3">
        <f>B3*C3</f>
        <v>0</v>
      </c>
      <c r="E3">
        <f>BINOMDIST(B3,$B$7,$C$12,FALSE)</f>
        <v>0.15989621060870915</v>
      </c>
    </row>
    <row r="4" spans="1:5" x14ac:dyDescent="0.25">
      <c r="B4">
        <v>1</v>
      </c>
      <c r="C4">
        <v>62</v>
      </c>
      <c r="D4">
        <f t="shared" ref="D4:D7" si="0">B4*C4</f>
        <v>62</v>
      </c>
      <c r="E4">
        <f t="shared" ref="E4:E7" si="1">BINOMDIST(B4,$B$7,$C$12,FALSE)</f>
        <v>0.37185165257839342</v>
      </c>
    </row>
    <row r="5" spans="1:5" x14ac:dyDescent="0.25">
      <c r="B5">
        <v>2</v>
      </c>
      <c r="C5">
        <v>46</v>
      </c>
      <c r="D5">
        <f t="shared" si="0"/>
        <v>92</v>
      </c>
      <c r="E5">
        <f t="shared" si="1"/>
        <v>0.32428923189976172</v>
      </c>
    </row>
    <row r="6" spans="1:5" x14ac:dyDescent="0.25">
      <c r="B6">
        <v>3</v>
      </c>
      <c r="C6">
        <v>10</v>
      </c>
      <c r="D6">
        <f t="shared" si="0"/>
        <v>30</v>
      </c>
      <c r="E6">
        <f t="shared" si="1"/>
        <v>0.12569350073634172</v>
      </c>
    </row>
    <row r="7" spans="1:5" x14ac:dyDescent="0.25">
      <c r="B7">
        <v>4</v>
      </c>
      <c r="C7">
        <v>4</v>
      </c>
      <c r="D7">
        <f t="shared" si="0"/>
        <v>16</v>
      </c>
      <c r="E7">
        <f t="shared" si="1"/>
        <v>1.826940417679386E-2</v>
      </c>
    </row>
    <row r="8" spans="1:5" x14ac:dyDescent="0.25">
      <c r="B8" t="s">
        <v>14</v>
      </c>
      <c r="C8">
        <f>SUM(C3:C7)</f>
        <v>136</v>
      </c>
      <c r="D8">
        <f>SUM(D3:D7)</f>
        <v>200</v>
      </c>
    </row>
    <row r="10" spans="1:5" x14ac:dyDescent="0.25">
      <c r="B10" t="s">
        <v>4</v>
      </c>
      <c r="C10">
        <v>4</v>
      </c>
    </row>
    <row r="11" spans="1:5" x14ac:dyDescent="0.25">
      <c r="B11" t="s">
        <v>7</v>
      </c>
      <c r="C11">
        <f>D8/C8</f>
        <v>1.4705882352941178</v>
      </c>
    </row>
    <row r="12" spans="1:5" x14ac:dyDescent="0.25">
      <c r="B12" t="s">
        <v>5</v>
      </c>
      <c r="C12">
        <f>C11/C10</f>
        <v>0.36764705882352944</v>
      </c>
    </row>
    <row r="14" spans="1:5" x14ac:dyDescent="0.25">
      <c r="A14" t="s">
        <v>11</v>
      </c>
      <c r="B14" t="s">
        <v>21</v>
      </c>
      <c r="C14">
        <f>BINOMDIST(1,C10,C12,FALSE)</f>
        <v>0.37185165257839342</v>
      </c>
    </row>
    <row r="16" spans="1:5" x14ac:dyDescent="0.25">
      <c r="A16" t="s">
        <v>16</v>
      </c>
      <c r="B16" t="s">
        <v>22</v>
      </c>
      <c r="C16">
        <f>BINOMDIST(0,4,C12,FALSE)+BINOMDIST(1,4,C12,FALSE)</f>
        <v>0.53174786318710254</v>
      </c>
      <c r="D16">
        <f>BINOMDIST(1,4,C12,TRUE)</f>
        <v>0.53174786318710265</v>
      </c>
    </row>
    <row r="18" spans="1:3" x14ac:dyDescent="0.25">
      <c r="A18" t="s">
        <v>18</v>
      </c>
      <c r="B18" t="s">
        <v>23</v>
      </c>
      <c r="C18">
        <f>E5+E6</f>
        <v>0.44998273263610344</v>
      </c>
    </row>
    <row r="20" spans="1:3" x14ac:dyDescent="0.25">
      <c r="A20" t="s">
        <v>24</v>
      </c>
      <c r="B20" t="s">
        <v>60</v>
      </c>
      <c r="C20">
        <f>E4+E5+E6</f>
        <v>0.82183438521449692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CDF3-DD59-408C-BF66-AF06E5AA646B}">
  <dimension ref="A1:G14"/>
  <sheetViews>
    <sheetView zoomScale="115" zoomScaleNormal="115" workbookViewId="0">
      <selection activeCell="C10" sqref="C10"/>
    </sheetView>
  </sheetViews>
  <sheetFormatPr defaultRowHeight="15" x14ac:dyDescent="0.25"/>
  <cols>
    <col min="1" max="1" width="2.5703125" customWidth="1"/>
  </cols>
  <sheetData>
    <row r="1" spans="1:7" x14ac:dyDescent="0.25">
      <c r="A1" s="2"/>
      <c r="B1" s="2"/>
      <c r="C1" s="2"/>
      <c r="D1" s="2"/>
      <c r="E1" s="2"/>
      <c r="F1" s="2"/>
      <c r="G1" s="2"/>
    </row>
    <row r="2" spans="1:7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9</v>
      </c>
      <c r="G2" s="2" t="s">
        <v>25</v>
      </c>
    </row>
    <row r="3" spans="1:7" x14ac:dyDescent="0.25">
      <c r="A3" s="2"/>
      <c r="B3" s="2">
        <v>0</v>
      </c>
      <c r="C3" s="2">
        <v>14</v>
      </c>
      <c r="D3" s="2">
        <f>B3*C3</f>
        <v>0</v>
      </c>
      <c r="E3" s="2">
        <f>_xlfn.POISSON.DIST(B3,$C$10,FALSE)</f>
        <v>0.22979027467301683</v>
      </c>
      <c r="F3" s="2">
        <f>$C$8*E3</f>
        <v>31.251477355530287</v>
      </c>
      <c r="G3" s="2">
        <f>ROUND(F3,0)</f>
        <v>31</v>
      </c>
    </row>
    <row r="4" spans="1:7" x14ac:dyDescent="0.25">
      <c r="A4" s="2"/>
      <c r="B4" s="2">
        <v>1</v>
      </c>
      <c r="C4" s="2">
        <v>62</v>
      </c>
      <c r="D4" s="2">
        <f t="shared" ref="D4:D7" si="0">B4*C4</f>
        <v>62</v>
      </c>
      <c r="E4" s="2">
        <f t="shared" ref="E4:E7" si="1">_xlfn.POISSON.DIST(B4,$C$10,FALSE)</f>
        <v>0.33792687451914238</v>
      </c>
      <c r="F4" s="2">
        <f t="shared" ref="F4:F7" si="2">$C$8*E4</f>
        <v>45.958054934603368</v>
      </c>
      <c r="G4" s="2">
        <f t="shared" ref="G4:G7" si="3">ROUND(F4,0)</f>
        <v>46</v>
      </c>
    </row>
    <row r="5" spans="1:7" x14ac:dyDescent="0.25">
      <c r="A5" s="2"/>
      <c r="B5" s="2">
        <v>2</v>
      </c>
      <c r="C5" s="2">
        <v>46</v>
      </c>
      <c r="D5" s="2">
        <f t="shared" si="0"/>
        <v>92</v>
      </c>
      <c r="E5" s="2">
        <f t="shared" si="1"/>
        <v>0.24847564302878122</v>
      </c>
      <c r="F5" s="2">
        <f t="shared" si="2"/>
        <v>33.792687451914247</v>
      </c>
      <c r="G5" s="2">
        <f t="shared" si="3"/>
        <v>34</v>
      </c>
    </row>
    <row r="6" spans="1:7" x14ac:dyDescent="0.25">
      <c r="A6" s="2"/>
      <c r="B6" s="2">
        <v>3</v>
      </c>
      <c r="C6" s="2">
        <v>10</v>
      </c>
      <c r="D6" s="2">
        <f t="shared" si="0"/>
        <v>30</v>
      </c>
      <c r="E6" s="2">
        <f t="shared" si="1"/>
        <v>0.12180178579842216</v>
      </c>
      <c r="F6" s="2">
        <f t="shared" si="2"/>
        <v>16.565042868585415</v>
      </c>
      <c r="G6" s="2">
        <f t="shared" si="3"/>
        <v>17</v>
      </c>
    </row>
    <row r="7" spans="1:7" x14ac:dyDescent="0.25">
      <c r="A7" s="2"/>
      <c r="B7" s="2">
        <v>4</v>
      </c>
      <c r="C7" s="2">
        <v>4</v>
      </c>
      <c r="D7" s="2">
        <f t="shared" si="0"/>
        <v>16</v>
      </c>
      <c r="E7" s="2">
        <f t="shared" si="1"/>
        <v>4.4780068308243444E-2</v>
      </c>
      <c r="F7" s="2">
        <f t="shared" si="2"/>
        <v>6.0900892899211083</v>
      </c>
      <c r="G7" s="2">
        <f t="shared" si="3"/>
        <v>6</v>
      </c>
    </row>
    <row r="8" spans="1:7" x14ac:dyDescent="0.25">
      <c r="A8" s="2"/>
      <c r="B8" s="2" t="s">
        <v>14</v>
      </c>
      <c r="C8" s="2">
        <f>SUM(C3:C7)</f>
        <v>136</v>
      </c>
      <c r="D8" s="2">
        <f>SUM(D3:D7)</f>
        <v>200</v>
      </c>
      <c r="E8" s="2">
        <f>SUM(E3:E7)</f>
        <v>0.98277464632760603</v>
      </c>
      <c r="F8" s="2">
        <f>SUM(F3:F7)</f>
        <v>133.65735190055443</v>
      </c>
      <c r="G8" s="2">
        <f>SUM(G3:G7)</f>
        <v>134</v>
      </c>
    </row>
    <row r="9" spans="1:7" x14ac:dyDescent="0.25">
      <c r="A9" s="2"/>
      <c r="B9" s="2" t="s">
        <v>4</v>
      </c>
      <c r="C9" s="2">
        <v>4</v>
      </c>
      <c r="D9" s="2"/>
      <c r="E9" s="2"/>
      <c r="F9" s="2"/>
      <c r="G9" s="2"/>
    </row>
    <row r="10" spans="1:7" x14ac:dyDescent="0.25">
      <c r="A10" s="2"/>
      <c r="B10" s="2" t="s">
        <v>7</v>
      </c>
      <c r="C10" s="2">
        <f>D8/C8</f>
        <v>1.4705882352941178</v>
      </c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 t="s">
        <v>11</v>
      </c>
      <c r="B12" s="2" t="s">
        <v>26</v>
      </c>
      <c r="C12" s="2">
        <f>_xlfn.POISSON.DIST(2,C10,FALSE)</f>
        <v>0.24847564302878122</v>
      </c>
      <c r="D12" s="2"/>
      <c r="E12" s="2"/>
      <c r="F12" s="2"/>
      <c r="G12" s="2"/>
    </row>
    <row r="13" spans="1:7" x14ac:dyDescent="0.25">
      <c r="A13" s="2" t="s">
        <v>16</v>
      </c>
      <c r="B13" s="2" t="s">
        <v>27</v>
      </c>
      <c r="C13" s="2">
        <f>_xlfn.POISSON.DIST(2,C10,TRUE)</f>
        <v>0.81619279222094043</v>
      </c>
      <c r="D13" s="2">
        <f>E3+E4+E5</f>
        <v>0.81619279222094043</v>
      </c>
      <c r="E13" s="2"/>
      <c r="F13" s="2"/>
      <c r="G13" s="2"/>
    </row>
    <row r="14" spans="1:7" x14ac:dyDescent="0.25">
      <c r="A14" s="2" t="s">
        <v>18</v>
      </c>
      <c r="B14" s="2" t="s">
        <v>28</v>
      </c>
      <c r="C14" s="2">
        <f>1-_xlfn.POISSON.DIST(2,C10,TRUE)</f>
        <v>0.18380720777905957</v>
      </c>
      <c r="D14" s="2">
        <f>E6+E7</f>
        <v>0.16658185410666559</v>
      </c>
      <c r="E14" s="2"/>
      <c r="F14" s="2"/>
      <c r="G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6D33-F2CC-4026-9138-DF3797AC5847}">
  <dimension ref="B2:C2"/>
  <sheetViews>
    <sheetView workbookViewId="0">
      <selection activeCell="C2" sqref="C2"/>
    </sheetView>
  </sheetViews>
  <sheetFormatPr defaultRowHeight="15" x14ac:dyDescent="0.25"/>
  <cols>
    <col min="2" max="2" width="11.28515625" customWidth="1"/>
  </cols>
  <sheetData>
    <row r="2" spans="2:3" x14ac:dyDescent="0.25">
      <c r="B2" t="s">
        <v>35</v>
      </c>
      <c r="C2">
        <f>1-_xlfn.EXPON.DIST(100,1/50,TRUE)</f>
        <v>0.1353352832366127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1CBB-CEEF-4924-B99A-96634ACB73D8}">
  <dimension ref="A2:G11"/>
  <sheetViews>
    <sheetView workbookViewId="0">
      <selection activeCell="H11" sqref="H11"/>
    </sheetView>
  </sheetViews>
  <sheetFormatPr defaultRowHeight="15" x14ac:dyDescent="0.25"/>
  <sheetData>
    <row r="2" spans="1:7" x14ac:dyDescent="0.25">
      <c r="B2" t="s">
        <v>0</v>
      </c>
      <c r="C2" t="s">
        <v>3</v>
      </c>
      <c r="D2" t="s">
        <v>3</v>
      </c>
      <c r="E2" t="s">
        <v>38</v>
      </c>
      <c r="F2" t="s">
        <v>40</v>
      </c>
      <c r="G2" t="s">
        <v>41</v>
      </c>
    </row>
    <row r="3" spans="1:7" x14ac:dyDescent="0.25">
      <c r="B3">
        <v>0</v>
      </c>
      <c r="C3">
        <v>0.2</v>
      </c>
      <c r="D3">
        <v>0.2</v>
      </c>
      <c r="E3">
        <f t="shared" ref="E3:E7" si="0">B3*D3</f>
        <v>0</v>
      </c>
      <c r="F3">
        <f>E3*B3</f>
        <v>0</v>
      </c>
      <c r="G3">
        <f>D3</f>
        <v>0.2</v>
      </c>
    </row>
    <row r="4" spans="1:7" x14ac:dyDescent="0.25">
      <c r="B4">
        <v>1</v>
      </c>
      <c r="C4">
        <v>0.25</v>
      </c>
      <c r="D4">
        <v>0.25</v>
      </c>
      <c r="E4">
        <f t="shared" si="0"/>
        <v>0.25</v>
      </c>
      <c r="F4">
        <f t="shared" ref="F4:F7" si="1">E4*B4</f>
        <v>0.25</v>
      </c>
      <c r="G4">
        <f>G3+D4</f>
        <v>0.45</v>
      </c>
    </row>
    <row r="5" spans="1:7" x14ac:dyDescent="0.25">
      <c r="B5">
        <v>2</v>
      </c>
      <c r="C5">
        <v>0.3</v>
      </c>
      <c r="D5">
        <v>0.3</v>
      </c>
      <c r="E5">
        <f t="shared" si="0"/>
        <v>0.6</v>
      </c>
      <c r="F5">
        <f t="shared" si="1"/>
        <v>1.2</v>
      </c>
      <c r="G5">
        <f t="shared" ref="G5:G7" si="2">G4+D5</f>
        <v>0.75</v>
      </c>
    </row>
    <row r="6" spans="1:7" x14ac:dyDescent="0.25">
      <c r="B6">
        <v>3</v>
      </c>
      <c r="C6" t="s">
        <v>36</v>
      </c>
      <c r="D6">
        <v>0.15</v>
      </c>
      <c r="E6">
        <f t="shared" si="0"/>
        <v>0.44999999999999996</v>
      </c>
      <c r="F6">
        <f t="shared" si="1"/>
        <v>1.3499999999999999</v>
      </c>
      <c r="G6">
        <f t="shared" si="2"/>
        <v>0.9</v>
      </c>
    </row>
    <row r="7" spans="1:7" x14ac:dyDescent="0.25">
      <c r="B7">
        <v>4</v>
      </c>
      <c r="C7">
        <v>0.1</v>
      </c>
      <c r="D7">
        <v>0.1</v>
      </c>
      <c r="E7">
        <f t="shared" si="0"/>
        <v>0.4</v>
      </c>
      <c r="F7">
        <f t="shared" si="1"/>
        <v>1.6</v>
      </c>
      <c r="G7">
        <f t="shared" si="2"/>
        <v>1</v>
      </c>
    </row>
    <row r="8" spans="1:7" x14ac:dyDescent="0.25">
      <c r="D8" t="s">
        <v>39</v>
      </c>
      <c r="E8">
        <f>SUM(E3:E7)</f>
        <v>1.6999999999999997</v>
      </c>
      <c r="F8">
        <f>SUM(F3:F7)</f>
        <v>4.4000000000000004</v>
      </c>
    </row>
    <row r="9" spans="1:7" x14ac:dyDescent="0.25">
      <c r="A9" t="s">
        <v>11</v>
      </c>
      <c r="B9" t="s">
        <v>37</v>
      </c>
      <c r="C9">
        <f>1-(C3+C4+C5+C7)</f>
        <v>0.15000000000000002</v>
      </c>
    </row>
    <row r="10" spans="1:7" x14ac:dyDescent="0.25">
      <c r="A10" t="s">
        <v>16</v>
      </c>
      <c r="B10" t="s">
        <v>12</v>
      </c>
      <c r="C10">
        <f>E8</f>
        <v>1.6999999999999997</v>
      </c>
    </row>
    <row r="11" spans="1:7" x14ac:dyDescent="0.25">
      <c r="A11" t="s">
        <v>18</v>
      </c>
      <c r="B11" t="s">
        <v>15</v>
      </c>
      <c r="C11">
        <f>F8-E8*E8</f>
        <v>1.5100000000000011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0D5A-F252-452D-A596-2D7F7DDBFD61}">
  <dimension ref="B2:C20"/>
  <sheetViews>
    <sheetView workbookViewId="0">
      <selection activeCell="C20" sqref="C20"/>
    </sheetView>
  </sheetViews>
  <sheetFormatPr defaultRowHeight="15" x14ac:dyDescent="0.25"/>
  <sheetData>
    <row r="2" spans="2:2" x14ac:dyDescent="0.25">
      <c r="B2" s="2" t="s">
        <v>0</v>
      </c>
    </row>
    <row r="3" spans="2:2" x14ac:dyDescent="0.25">
      <c r="B3">
        <v>2</v>
      </c>
    </row>
    <row r="4" spans="2:2" x14ac:dyDescent="0.25">
      <c r="B4">
        <v>0</v>
      </c>
    </row>
    <row r="5" spans="2:2" x14ac:dyDescent="0.25">
      <c r="B5">
        <v>5</v>
      </c>
    </row>
    <row r="6" spans="2:2" x14ac:dyDescent="0.25">
      <c r="B6">
        <v>7</v>
      </c>
    </row>
    <row r="7" spans="2:2" x14ac:dyDescent="0.25">
      <c r="B7">
        <v>0</v>
      </c>
    </row>
    <row r="8" spans="2:2" x14ac:dyDescent="0.25">
      <c r="B8">
        <v>3</v>
      </c>
    </row>
    <row r="9" spans="2:2" x14ac:dyDescent="0.25">
      <c r="B9">
        <v>15</v>
      </c>
    </row>
    <row r="10" spans="2:2" x14ac:dyDescent="0.25">
      <c r="B10">
        <v>6</v>
      </c>
    </row>
    <row r="11" spans="2:2" x14ac:dyDescent="0.25">
      <c r="B11">
        <v>5</v>
      </c>
    </row>
    <row r="12" spans="2:2" x14ac:dyDescent="0.25">
      <c r="B12">
        <v>9</v>
      </c>
    </row>
    <row r="13" spans="2:2" x14ac:dyDescent="0.25">
      <c r="B13">
        <v>3</v>
      </c>
    </row>
    <row r="14" spans="2:2" x14ac:dyDescent="0.25">
      <c r="B14">
        <v>8</v>
      </c>
    </row>
    <row r="15" spans="2:2" x14ac:dyDescent="0.25">
      <c r="B15">
        <v>10</v>
      </c>
    </row>
    <row r="16" spans="2:2" x14ac:dyDescent="0.25">
      <c r="B16">
        <v>5</v>
      </c>
    </row>
    <row r="17" spans="2:3" x14ac:dyDescent="0.25">
      <c r="B17">
        <v>12</v>
      </c>
    </row>
    <row r="18" spans="2:3" x14ac:dyDescent="0.25">
      <c r="B18" s="2" t="s">
        <v>42</v>
      </c>
      <c r="C18" s="2">
        <f>AVERAGE(B3:B17)</f>
        <v>6</v>
      </c>
    </row>
    <row r="19" spans="2:3" x14ac:dyDescent="0.25">
      <c r="B19" s="2" t="s">
        <v>43</v>
      </c>
      <c r="C19" s="2">
        <f>MEDIAN(B3:B17)</f>
        <v>5</v>
      </c>
    </row>
    <row r="20" spans="2:3" x14ac:dyDescent="0.25">
      <c r="B20" s="2" t="s">
        <v>44</v>
      </c>
      <c r="C20" s="2">
        <f>MODE(B3:B17)</f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9ABA-7EB4-4925-9777-6B4C43E288AB}">
  <dimension ref="A1:D16"/>
  <sheetViews>
    <sheetView workbookViewId="0">
      <selection activeCell="B16" sqref="B16"/>
    </sheetView>
  </sheetViews>
  <sheetFormatPr defaultRowHeight="15" x14ac:dyDescent="0.25"/>
  <sheetData>
    <row r="1" spans="1:4" x14ac:dyDescent="0.25">
      <c r="A1" s="2" t="s">
        <v>0</v>
      </c>
      <c r="B1" s="2"/>
      <c r="C1" s="2"/>
      <c r="D1" s="2"/>
    </row>
    <row r="2" spans="1:4" x14ac:dyDescent="0.25">
      <c r="A2" s="2">
        <v>120</v>
      </c>
      <c r="B2" s="2"/>
      <c r="C2" s="2"/>
      <c r="D2" s="2"/>
    </row>
    <row r="3" spans="1:4" x14ac:dyDescent="0.25">
      <c r="A3" s="2">
        <v>180</v>
      </c>
      <c r="B3" s="2"/>
      <c r="C3" s="2"/>
      <c r="D3" s="2"/>
    </row>
    <row r="4" spans="1:4" x14ac:dyDescent="0.25">
      <c r="A4" s="2">
        <v>140</v>
      </c>
      <c r="B4" s="2"/>
      <c r="C4" s="2"/>
      <c r="D4" s="2"/>
    </row>
    <row r="5" spans="1:4" x14ac:dyDescent="0.25">
      <c r="A5" s="2">
        <v>150</v>
      </c>
      <c r="B5" s="2"/>
      <c r="C5" s="2"/>
      <c r="D5" s="2"/>
    </row>
    <row r="6" spans="1:4" x14ac:dyDescent="0.25">
      <c r="A6" s="2">
        <v>160</v>
      </c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 t="s">
        <v>11</v>
      </c>
      <c r="B8" s="2" t="s">
        <v>45</v>
      </c>
      <c r="C8" s="2">
        <f>STDEV(A2:A6)</f>
        <v>22.360679774997898</v>
      </c>
      <c r="D8" s="2"/>
    </row>
    <row r="9" spans="1:4" x14ac:dyDescent="0.25">
      <c r="A9" s="2"/>
      <c r="B9" s="2" t="s">
        <v>46</v>
      </c>
      <c r="C9" s="2">
        <f>VAR(A2:A6)</f>
        <v>500</v>
      </c>
      <c r="D9" s="2"/>
    </row>
    <row r="10" spans="1:4" x14ac:dyDescent="0.25">
      <c r="A10" s="2" t="s">
        <v>16</v>
      </c>
      <c r="B10" s="2" t="s">
        <v>47</v>
      </c>
      <c r="C10" s="2">
        <f>QUARTILE(A2:A6,3)</f>
        <v>160</v>
      </c>
      <c r="D10" s="2"/>
    </row>
    <row r="11" spans="1:4" x14ac:dyDescent="0.25">
      <c r="A11" s="2"/>
      <c r="B11" s="2" t="s">
        <v>48</v>
      </c>
      <c r="C11" s="2">
        <f>QUARTILE(A2:A6,1)</f>
        <v>140</v>
      </c>
      <c r="D11" s="2"/>
    </row>
    <row r="12" spans="1:4" x14ac:dyDescent="0.25">
      <c r="A12" s="2"/>
      <c r="B12" s="2" t="s">
        <v>59</v>
      </c>
      <c r="C12" s="2">
        <f>QUARTILE(A2:A6,2)</f>
        <v>150</v>
      </c>
      <c r="D12" s="2"/>
    </row>
    <row r="13" spans="1:4" x14ac:dyDescent="0.25">
      <c r="A13" s="2"/>
      <c r="B13" s="2" t="s">
        <v>49</v>
      </c>
      <c r="C13" s="2">
        <f>(C10-C11)/2</f>
        <v>10</v>
      </c>
      <c r="D13" s="2"/>
    </row>
    <row r="14" spans="1:4" x14ac:dyDescent="0.25">
      <c r="A14" s="2"/>
      <c r="B14" s="2"/>
      <c r="C14" s="2"/>
      <c r="D14" s="2"/>
    </row>
    <row r="15" spans="1:4" x14ac:dyDescent="0.25">
      <c r="A15" s="2" t="s">
        <v>42</v>
      </c>
      <c r="B15" s="2">
        <f>AVERAGE(A2:A6)</f>
        <v>150</v>
      </c>
      <c r="C15" s="2"/>
      <c r="D15" s="2"/>
    </row>
    <row r="16" spans="1:4" x14ac:dyDescent="0.25">
      <c r="A16" s="2" t="s">
        <v>50</v>
      </c>
      <c r="B16" s="2">
        <f>(C8/B15)*100</f>
        <v>14.907119849998599</v>
      </c>
      <c r="C16" s="2"/>
      <c r="D1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857D-62AB-498D-870D-D23C2EC9594D}">
  <dimension ref="A2:G16"/>
  <sheetViews>
    <sheetView topLeftCell="A4" workbookViewId="0">
      <selection activeCell="H11" sqref="H11"/>
    </sheetView>
  </sheetViews>
  <sheetFormatPr defaultRowHeight="15" x14ac:dyDescent="0.25"/>
  <cols>
    <col min="2" max="2" width="11.28515625" customWidth="1"/>
    <col min="5" max="5" width="11" customWidth="1"/>
  </cols>
  <sheetData>
    <row r="2" spans="1:7" x14ac:dyDescent="0.25">
      <c r="A2" s="2"/>
      <c r="B2" s="2" t="s">
        <v>51</v>
      </c>
      <c r="C2" s="2">
        <v>5.62</v>
      </c>
      <c r="D2" s="2">
        <v>5.29</v>
      </c>
      <c r="E2" s="2">
        <v>16.25</v>
      </c>
      <c r="F2" s="2">
        <v>10.92</v>
      </c>
      <c r="G2" s="2">
        <v>11.46</v>
      </c>
    </row>
    <row r="3" spans="1:7" x14ac:dyDescent="0.25">
      <c r="A3" s="2"/>
      <c r="B3" s="2" t="s">
        <v>52</v>
      </c>
      <c r="C3" s="2">
        <v>9.5399999999999991</v>
      </c>
      <c r="D3" s="2">
        <v>11.46</v>
      </c>
      <c r="E3" s="2">
        <v>16.62</v>
      </c>
      <c r="F3" s="2">
        <v>12.62</v>
      </c>
      <c r="G3" s="2">
        <v>25.75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 t="s">
        <v>51</v>
      </c>
      <c r="C5" s="2" t="s">
        <v>52</v>
      </c>
      <c r="D5" s="2"/>
      <c r="E5" s="2"/>
      <c r="F5" s="2"/>
      <c r="G5" s="2"/>
    </row>
    <row r="6" spans="1:7" x14ac:dyDescent="0.25">
      <c r="A6" s="2"/>
      <c r="B6" s="2">
        <v>5.62</v>
      </c>
      <c r="C6" s="2">
        <v>9.5399999999999991</v>
      </c>
      <c r="D6" s="2"/>
      <c r="E6" s="2"/>
      <c r="F6" s="2"/>
      <c r="G6" s="2"/>
    </row>
    <row r="7" spans="1:7" x14ac:dyDescent="0.25">
      <c r="A7" s="2"/>
      <c r="B7" s="2">
        <v>5.29</v>
      </c>
      <c r="C7" s="2">
        <v>11.46</v>
      </c>
      <c r="D7" s="2"/>
      <c r="E7" s="2"/>
      <c r="F7" s="2"/>
      <c r="G7" s="2"/>
    </row>
    <row r="8" spans="1:7" x14ac:dyDescent="0.25">
      <c r="A8" s="2"/>
      <c r="B8" s="2">
        <v>16.25</v>
      </c>
      <c r="C8" s="2">
        <v>16.62</v>
      </c>
      <c r="D8" s="2"/>
      <c r="E8" s="2"/>
      <c r="F8" s="2"/>
      <c r="G8" s="2"/>
    </row>
    <row r="9" spans="1:7" x14ac:dyDescent="0.25">
      <c r="A9" s="2"/>
      <c r="B9" s="2">
        <v>10.92</v>
      </c>
      <c r="C9" s="2">
        <v>12.62</v>
      </c>
      <c r="D9" s="2"/>
      <c r="E9" s="2"/>
      <c r="F9" s="2"/>
      <c r="G9" s="2"/>
    </row>
    <row r="10" spans="1:7" x14ac:dyDescent="0.25">
      <c r="A10" s="2"/>
      <c r="B10" s="2">
        <v>11.46</v>
      </c>
      <c r="C10" s="2">
        <v>25.75</v>
      </c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 t="s">
        <v>54</v>
      </c>
      <c r="C12" s="2"/>
      <c r="D12" s="2"/>
      <c r="E12" s="2" t="s">
        <v>58</v>
      </c>
      <c r="F12" s="2"/>
      <c r="G12" s="2"/>
    </row>
    <row r="13" spans="1:7" x14ac:dyDescent="0.25">
      <c r="A13" s="2"/>
      <c r="B13" s="2"/>
      <c r="C13" s="2" t="s">
        <v>53</v>
      </c>
      <c r="D13" s="2">
        <f>AVERAGE(B6:B10)</f>
        <v>9.9079999999999995</v>
      </c>
      <c r="E13" s="2"/>
      <c r="F13" s="2">
        <f>AVERAGE(C6:C10)</f>
        <v>15.198000000000002</v>
      </c>
      <c r="G13" s="2"/>
    </row>
    <row r="14" spans="1:7" x14ac:dyDescent="0.25">
      <c r="A14" s="2"/>
      <c r="B14" s="2"/>
      <c r="C14" s="2" t="s">
        <v>55</v>
      </c>
      <c r="D14" s="2">
        <f>MEDIAN(B6:B10)</f>
        <v>10.92</v>
      </c>
      <c r="E14" s="2"/>
      <c r="F14" s="2">
        <f>MEDIAN(C6:C10)</f>
        <v>12.62</v>
      </c>
      <c r="G14" s="2"/>
    </row>
    <row r="15" spans="1:7" x14ac:dyDescent="0.25">
      <c r="A15" s="2"/>
      <c r="B15" s="2"/>
      <c r="C15" s="2" t="s">
        <v>56</v>
      </c>
      <c r="D15" s="2">
        <f>STDEV(B6:B10)</f>
        <v>4.5652677906120669</v>
      </c>
      <c r="E15" s="2"/>
      <c r="F15" s="2">
        <f>STDEV(C6:C10)</f>
        <v>6.4420198695750646</v>
      </c>
      <c r="G15" s="2"/>
    </row>
    <row r="16" spans="1:7" x14ac:dyDescent="0.25">
      <c r="A16" s="2"/>
      <c r="B16" s="2"/>
      <c r="C16" s="2" t="s">
        <v>57</v>
      </c>
      <c r="D16" s="2">
        <f>(D15/D13)*100</f>
        <v>46.0765824647968</v>
      </c>
      <c r="E16" s="2"/>
      <c r="F16" s="2">
        <f>(F15/F13)*100</f>
        <v>42.387286942854743</v>
      </c>
      <c r="G1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B10E-A77C-45CC-9672-8BB26E20AF06}">
  <dimension ref="A2:D18"/>
  <sheetViews>
    <sheetView workbookViewId="0">
      <selection activeCell="C18" sqref="C18"/>
    </sheetView>
  </sheetViews>
  <sheetFormatPr defaultRowHeight="15" x14ac:dyDescent="0.25"/>
  <cols>
    <col min="1" max="1" width="0.7109375" customWidth="1"/>
    <col min="2" max="2" width="16.5703125" customWidth="1"/>
  </cols>
  <sheetData>
    <row r="2" spans="1:4" x14ac:dyDescent="0.25">
      <c r="A2" s="2"/>
      <c r="B2" s="2" t="s">
        <v>0</v>
      </c>
      <c r="C2" s="2"/>
      <c r="D2" s="2"/>
    </row>
    <row r="3" spans="1:4" x14ac:dyDescent="0.25">
      <c r="A3" s="2"/>
      <c r="B3" s="2">
        <v>173</v>
      </c>
      <c r="C3" s="2"/>
      <c r="D3" s="2"/>
    </row>
    <row r="4" spans="1:4" x14ac:dyDescent="0.25">
      <c r="A4" s="2"/>
      <c r="B4" s="2">
        <v>206</v>
      </c>
      <c r="C4" s="2"/>
      <c r="D4" s="2"/>
    </row>
    <row r="5" spans="1:4" x14ac:dyDescent="0.25">
      <c r="A5" s="2"/>
      <c r="B5" s="2">
        <v>179</v>
      </c>
      <c r="C5" s="2"/>
      <c r="D5" s="2"/>
    </row>
    <row r="6" spans="1:4" x14ac:dyDescent="0.25">
      <c r="A6" s="2"/>
      <c r="B6" s="2">
        <v>257</v>
      </c>
      <c r="C6" s="2"/>
      <c r="D6" s="2"/>
    </row>
    <row r="7" spans="1:4" x14ac:dyDescent="0.25">
      <c r="A7" s="2"/>
      <c r="B7" s="2">
        <v>198</v>
      </c>
      <c r="C7" s="2"/>
      <c r="D7" s="2"/>
    </row>
    <row r="8" spans="1:4" x14ac:dyDescent="0.25">
      <c r="A8" s="2"/>
      <c r="B8" s="2">
        <v>251</v>
      </c>
      <c r="C8" s="2"/>
      <c r="D8" s="2"/>
    </row>
    <row r="9" spans="1:4" x14ac:dyDescent="0.25">
      <c r="A9" s="2"/>
      <c r="B9" s="2">
        <v>239</v>
      </c>
      <c r="C9" s="2"/>
      <c r="D9" s="2"/>
    </row>
    <row r="10" spans="1:4" x14ac:dyDescent="0.25">
      <c r="A10" s="2"/>
      <c r="B10" s="2">
        <v>246</v>
      </c>
      <c r="C10" s="2"/>
      <c r="D10" s="2"/>
    </row>
    <row r="11" spans="1:4" x14ac:dyDescent="0.25">
      <c r="A11" s="2"/>
      <c r="B11" s="2">
        <v>295</v>
      </c>
      <c r="C11" s="2"/>
      <c r="D11" s="2"/>
    </row>
    <row r="12" spans="1:4" x14ac:dyDescent="0.25">
      <c r="A12" s="2"/>
      <c r="B12" s="2">
        <v>261</v>
      </c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 t="s">
        <v>95</v>
      </c>
      <c r="C14" s="2">
        <f>SKEW(B3:B12)</f>
        <v>-0.10584962013088894</v>
      </c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 t="s">
        <v>96</v>
      </c>
      <c r="C16" s="2">
        <f>PERCENTILE(B3:B12,10/100)</f>
        <v>178.4</v>
      </c>
      <c r="D16" s="2"/>
    </row>
    <row r="17" spans="1:4" x14ac:dyDescent="0.25">
      <c r="A17" s="2"/>
      <c r="B17" s="2" t="s">
        <v>97</v>
      </c>
      <c r="C17" s="2">
        <f>PERCENTILE(B3:B12,50/100)</f>
        <v>242.5</v>
      </c>
      <c r="D17" s="2"/>
    </row>
    <row r="18" spans="1:4" x14ac:dyDescent="0.25">
      <c r="A18" s="2"/>
      <c r="B18" s="2" t="s">
        <v>75</v>
      </c>
      <c r="C18" s="2">
        <f>PERCENTILE(B3:B12,2/10)</f>
        <v>194.2</v>
      </c>
      <c r="D1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FE60-636A-416F-8B06-3315B46ACCE0}">
  <dimension ref="B2:C14"/>
  <sheetViews>
    <sheetView tabSelected="1" workbookViewId="0">
      <selection activeCell="K11" sqref="K11"/>
    </sheetView>
  </sheetViews>
  <sheetFormatPr defaultRowHeight="15" x14ac:dyDescent="0.25"/>
  <cols>
    <col min="1" max="1" width="1" customWidth="1"/>
    <col min="2" max="2" width="24" customWidth="1"/>
  </cols>
  <sheetData>
    <row r="2" spans="2:3" x14ac:dyDescent="0.25">
      <c r="B2" s="2" t="s">
        <v>0</v>
      </c>
      <c r="C2" s="2"/>
    </row>
    <row r="3" spans="2:3" x14ac:dyDescent="0.25">
      <c r="B3" s="2">
        <v>173</v>
      </c>
      <c r="C3" s="2"/>
    </row>
    <row r="4" spans="2:3" x14ac:dyDescent="0.25">
      <c r="B4" s="2">
        <v>206</v>
      </c>
      <c r="C4" s="2"/>
    </row>
    <row r="5" spans="2:3" x14ac:dyDescent="0.25">
      <c r="B5" s="2">
        <v>179</v>
      </c>
      <c r="C5" s="2"/>
    </row>
    <row r="6" spans="2:3" x14ac:dyDescent="0.25">
      <c r="B6" s="2">
        <v>257</v>
      </c>
      <c r="C6" s="2"/>
    </row>
    <row r="7" spans="2:3" x14ac:dyDescent="0.25">
      <c r="B7" s="2">
        <v>198</v>
      </c>
      <c r="C7" s="2"/>
    </row>
    <row r="8" spans="2:3" x14ac:dyDescent="0.25">
      <c r="B8" s="2">
        <v>251</v>
      </c>
      <c r="C8" s="2"/>
    </row>
    <row r="9" spans="2:3" x14ac:dyDescent="0.25">
      <c r="B9" s="2">
        <v>239</v>
      </c>
      <c r="C9" s="2"/>
    </row>
    <row r="10" spans="2:3" x14ac:dyDescent="0.25">
      <c r="B10" s="2">
        <v>246</v>
      </c>
      <c r="C10" s="2"/>
    </row>
    <row r="11" spans="2:3" x14ac:dyDescent="0.25">
      <c r="B11" s="2">
        <v>295</v>
      </c>
      <c r="C11" s="2"/>
    </row>
    <row r="12" spans="2:3" x14ac:dyDescent="0.25">
      <c r="B12" s="2">
        <v>261</v>
      </c>
      <c r="C12" s="2"/>
    </row>
    <row r="13" spans="2:3" x14ac:dyDescent="0.25">
      <c r="B13" s="2"/>
      <c r="C13" s="2"/>
    </row>
    <row r="14" spans="2:3" x14ac:dyDescent="0.25">
      <c r="B14" s="2" t="s">
        <v>61</v>
      </c>
      <c r="C14" s="2">
        <f>KURT(B3:B12)</f>
        <v>-0.9488622913762037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7730-0D6D-4201-9A07-0B8BE93B29B6}">
  <dimension ref="A1:H17"/>
  <sheetViews>
    <sheetView workbookViewId="0">
      <selection activeCell="F17" sqref="F17"/>
    </sheetView>
  </sheetViews>
  <sheetFormatPr defaultRowHeight="15" x14ac:dyDescent="0.25"/>
  <cols>
    <col min="1" max="1" width="20.7109375" customWidth="1"/>
    <col min="2" max="2" width="14.140625" customWidth="1"/>
    <col min="3" max="3" width="11.42578125" customWidth="1"/>
    <col min="4" max="4" width="11.28515625" customWidth="1"/>
    <col min="5" max="5" width="11" customWidth="1"/>
    <col min="6" max="6" width="7" customWidth="1"/>
    <col min="7" max="7" width="8.7109375" customWidth="1"/>
  </cols>
  <sheetData>
    <row r="1" spans="1:8" x14ac:dyDescent="0.25">
      <c r="A1" s="2"/>
      <c r="B1" s="2"/>
    </row>
    <row r="2" spans="1:8" x14ac:dyDescent="0.25">
      <c r="A2" s="2" t="s">
        <v>62</v>
      </c>
      <c r="B2" s="2" t="s">
        <v>63</v>
      </c>
      <c r="C2" s="2" t="s">
        <v>68</v>
      </c>
      <c r="D2" s="2" t="s">
        <v>69</v>
      </c>
      <c r="E2" s="2" t="s">
        <v>70</v>
      </c>
      <c r="F2" s="2" t="s">
        <v>1</v>
      </c>
      <c r="G2" s="2" t="s">
        <v>2</v>
      </c>
      <c r="H2" s="2" t="s">
        <v>71</v>
      </c>
    </row>
    <row r="3" spans="1:8" x14ac:dyDescent="0.25">
      <c r="A3" s="2">
        <v>20</v>
      </c>
      <c r="B3" s="2">
        <v>5</v>
      </c>
      <c r="C3" s="2">
        <v>0</v>
      </c>
      <c r="D3" s="2">
        <v>4</v>
      </c>
      <c r="E3" s="2">
        <f>(C3+D3)/2</f>
        <v>2</v>
      </c>
      <c r="F3" s="2">
        <v>5</v>
      </c>
      <c r="G3" s="2">
        <f>F3*E3</f>
        <v>10</v>
      </c>
      <c r="H3" s="2">
        <f>G3*E3</f>
        <v>20</v>
      </c>
    </row>
    <row r="4" spans="1:8" x14ac:dyDescent="0.25">
      <c r="A4" s="4" t="s">
        <v>64</v>
      </c>
      <c r="B4" s="2">
        <v>18</v>
      </c>
      <c r="C4" s="2">
        <v>5</v>
      </c>
      <c r="D4" s="2">
        <v>9</v>
      </c>
      <c r="E4" s="2">
        <f t="shared" ref="E4:E7" si="0">(C4+D4)/2</f>
        <v>7</v>
      </c>
      <c r="F4" s="2">
        <v>18</v>
      </c>
      <c r="G4" s="2">
        <f t="shared" ref="G4:G7" si="1">F4*E4</f>
        <v>126</v>
      </c>
      <c r="H4" s="2">
        <f t="shared" ref="H4:H7" si="2">G4*E4</f>
        <v>882</v>
      </c>
    </row>
    <row r="5" spans="1:8" x14ac:dyDescent="0.25">
      <c r="A5" s="4" t="s">
        <v>67</v>
      </c>
      <c r="B5" s="2">
        <v>42</v>
      </c>
      <c r="C5" s="2">
        <v>10</v>
      </c>
      <c r="D5" s="2">
        <v>14</v>
      </c>
      <c r="E5" s="2">
        <f t="shared" si="0"/>
        <v>12</v>
      </c>
      <c r="F5" s="2">
        <v>42</v>
      </c>
      <c r="G5" s="2">
        <f t="shared" si="1"/>
        <v>504</v>
      </c>
      <c r="H5" s="2">
        <f t="shared" si="2"/>
        <v>6048</v>
      </c>
    </row>
    <row r="6" spans="1:8" x14ac:dyDescent="0.25">
      <c r="A6" s="2" t="s">
        <v>65</v>
      </c>
      <c r="B6" s="2">
        <v>27</v>
      </c>
      <c r="C6" s="2">
        <v>15</v>
      </c>
      <c r="D6" s="2">
        <v>19</v>
      </c>
      <c r="E6" s="2">
        <f t="shared" si="0"/>
        <v>17</v>
      </c>
      <c r="F6" s="2">
        <v>27</v>
      </c>
      <c r="G6" s="2">
        <f t="shared" si="1"/>
        <v>459</v>
      </c>
      <c r="H6" s="2">
        <f t="shared" si="2"/>
        <v>7803</v>
      </c>
    </row>
    <row r="7" spans="1:8" x14ac:dyDescent="0.25">
      <c r="A7" s="2" t="s">
        <v>66</v>
      </c>
      <c r="B7" s="2">
        <v>8</v>
      </c>
      <c r="C7" s="2">
        <v>20</v>
      </c>
      <c r="D7" s="2">
        <v>24</v>
      </c>
      <c r="E7" s="2">
        <f t="shared" si="0"/>
        <v>22</v>
      </c>
      <c r="F7" s="2">
        <v>8</v>
      </c>
      <c r="G7" s="2">
        <f t="shared" si="1"/>
        <v>176</v>
      </c>
      <c r="H7" s="2">
        <f t="shared" si="2"/>
        <v>3872</v>
      </c>
    </row>
    <row r="8" spans="1:8" x14ac:dyDescent="0.25">
      <c r="A8" s="2" t="s">
        <v>6</v>
      </c>
      <c r="B8" s="2">
        <f>SUM(B3:B7)</f>
        <v>100</v>
      </c>
      <c r="C8" s="2">
        <f t="shared" ref="C8:H8" si="3">SUM(C3:C7)</f>
        <v>50</v>
      </c>
      <c r="D8" s="2">
        <f t="shared" si="3"/>
        <v>70</v>
      </c>
      <c r="E8" s="2">
        <f t="shared" si="3"/>
        <v>60</v>
      </c>
      <c r="F8" s="2">
        <f t="shared" si="3"/>
        <v>100</v>
      </c>
      <c r="G8" s="2">
        <f t="shared" si="3"/>
        <v>1275</v>
      </c>
      <c r="H8" s="2">
        <f t="shared" si="3"/>
        <v>18625</v>
      </c>
    </row>
    <row r="9" spans="1:8" hidden="1" x14ac:dyDescent="0.25">
      <c r="A9" s="2"/>
      <c r="B9" s="2"/>
      <c r="C9" s="2"/>
      <c r="D9" s="2"/>
      <c r="E9" s="2"/>
      <c r="F9" s="2"/>
      <c r="G9" s="2"/>
      <c r="H9" s="2"/>
    </row>
    <row r="10" spans="1:8" hidden="1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 t="s">
        <v>42</v>
      </c>
      <c r="F11" s="2">
        <f>G8/F8</f>
        <v>12.75</v>
      </c>
      <c r="G11" s="2"/>
      <c r="H11" s="2"/>
    </row>
    <row r="12" spans="1:8" x14ac:dyDescent="0.25">
      <c r="A12" s="2"/>
      <c r="B12" s="2"/>
      <c r="C12" s="2"/>
      <c r="D12" s="2"/>
      <c r="E12" s="2" t="s">
        <v>56</v>
      </c>
      <c r="F12" s="2">
        <f>SQRT(H8/F8-F11*F11)</f>
        <v>4.8669805834829463</v>
      </c>
      <c r="G12" s="2"/>
      <c r="H12" s="2"/>
    </row>
    <row r="13" spans="1:8" x14ac:dyDescent="0.25">
      <c r="A13" s="2"/>
      <c r="B13" s="2"/>
      <c r="C13" s="2"/>
      <c r="D13" s="2"/>
      <c r="E13" s="2" t="s">
        <v>73</v>
      </c>
      <c r="F13" s="2" t="s">
        <v>72</v>
      </c>
      <c r="G13" s="2"/>
      <c r="H13" s="2"/>
    </row>
    <row r="14" spans="1:8" x14ac:dyDescent="0.25">
      <c r="A14" s="2"/>
      <c r="B14" s="2"/>
      <c r="C14" s="2"/>
      <c r="D14" s="2"/>
      <c r="E14" s="2" t="s">
        <v>74</v>
      </c>
      <c r="F14" s="2">
        <f>B5-B4</f>
        <v>24</v>
      </c>
      <c r="G14" s="2"/>
      <c r="H14" s="2"/>
    </row>
    <row r="15" spans="1:8" x14ac:dyDescent="0.25">
      <c r="A15" s="2"/>
      <c r="B15" s="2"/>
      <c r="C15" s="2"/>
      <c r="D15" s="2"/>
      <c r="E15" s="2" t="s">
        <v>75</v>
      </c>
      <c r="F15" s="2">
        <f>B5-B6</f>
        <v>15</v>
      </c>
      <c r="G15" s="2"/>
      <c r="H15" s="2"/>
    </row>
    <row r="16" spans="1:8" x14ac:dyDescent="0.25">
      <c r="A16" s="2"/>
      <c r="B16" s="2"/>
      <c r="C16" s="2"/>
      <c r="D16" s="2"/>
      <c r="E16" s="2" t="s">
        <v>76</v>
      </c>
      <c r="F16" s="2">
        <f>9.5 + 24/(24+15)*5</f>
        <v>12.576923076923077</v>
      </c>
      <c r="G16" s="2"/>
      <c r="H16" s="2"/>
    </row>
    <row r="17" spans="1:8" x14ac:dyDescent="0.25">
      <c r="A17" s="2"/>
      <c r="B17" s="2"/>
      <c r="C17" s="2"/>
      <c r="D17" s="2"/>
      <c r="E17" s="2" t="s">
        <v>77</v>
      </c>
      <c r="F17" s="2">
        <f>(F11-F16)/F12</f>
        <v>3.5561457480289493E-2</v>
      </c>
      <c r="G17" s="2"/>
      <c r="H17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9A61-19F0-4E70-8A17-F2F05CD698CB}">
  <dimension ref="A2:C13"/>
  <sheetViews>
    <sheetView workbookViewId="0">
      <selection activeCell="H16" sqref="H16"/>
    </sheetView>
  </sheetViews>
  <sheetFormatPr defaultRowHeight="15" x14ac:dyDescent="0.25"/>
  <cols>
    <col min="2" max="2" width="13.5703125" customWidth="1"/>
    <col min="3" max="3" width="23.7109375" customWidth="1"/>
  </cols>
  <sheetData>
    <row r="2" spans="1:3" x14ac:dyDescent="0.25">
      <c r="A2" s="2"/>
      <c r="B2" s="2" t="s">
        <v>78</v>
      </c>
      <c r="C2" s="2" t="s">
        <v>79</v>
      </c>
    </row>
    <row r="3" spans="1:3" x14ac:dyDescent="0.25">
      <c r="A3" s="2"/>
      <c r="B3" s="2">
        <v>6</v>
      </c>
      <c r="C3" s="2">
        <v>40</v>
      </c>
    </row>
    <row r="4" spans="1:3" x14ac:dyDescent="0.25">
      <c r="A4" s="2"/>
      <c r="B4" s="2">
        <v>7</v>
      </c>
      <c r="C4" s="2">
        <v>55</v>
      </c>
    </row>
    <row r="5" spans="1:3" x14ac:dyDescent="0.25">
      <c r="A5" s="2"/>
      <c r="B5" s="2">
        <v>7</v>
      </c>
      <c r="C5" s="2">
        <v>50</v>
      </c>
    </row>
    <row r="6" spans="1:3" x14ac:dyDescent="0.25">
      <c r="A6" s="2"/>
      <c r="B6" s="2">
        <v>8</v>
      </c>
      <c r="C6" s="2">
        <v>41</v>
      </c>
    </row>
    <row r="7" spans="1:3" x14ac:dyDescent="0.25">
      <c r="A7" s="2"/>
      <c r="B7" s="2">
        <v>10</v>
      </c>
      <c r="C7" s="2">
        <v>17</v>
      </c>
    </row>
    <row r="8" spans="1:3" x14ac:dyDescent="0.25">
      <c r="A8" s="2"/>
      <c r="B8" s="2">
        <v>10</v>
      </c>
      <c r="C8" s="2">
        <v>26</v>
      </c>
    </row>
    <row r="9" spans="1:3" x14ac:dyDescent="0.25">
      <c r="A9" s="2"/>
      <c r="B9" s="2">
        <v>15</v>
      </c>
      <c r="C9" s="2">
        <v>16</v>
      </c>
    </row>
    <row r="10" spans="1:3" x14ac:dyDescent="0.25">
      <c r="A10" s="2"/>
      <c r="B10" s="2"/>
      <c r="C10" s="2"/>
    </row>
    <row r="11" spans="1:3" x14ac:dyDescent="0.25">
      <c r="A11" s="2"/>
      <c r="B11" s="2" t="s">
        <v>80</v>
      </c>
      <c r="C11" s="2">
        <f>CORREL(B3:B9,C3:C9)</f>
        <v>-0.81359948161830287</v>
      </c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89FE-B3EB-4A63-AC74-D5B743607FA6}">
  <dimension ref="A1:G25"/>
  <sheetViews>
    <sheetView topLeftCell="B1" zoomScaleNormal="100" workbookViewId="0">
      <selection activeCell="H12" sqref="H12"/>
    </sheetView>
  </sheetViews>
  <sheetFormatPr defaultRowHeight="15" x14ac:dyDescent="0.25"/>
  <cols>
    <col min="1" max="1" width="6" hidden="1" customWidth="1"/>
    <col min="2" max="2" width="17.28515625" customWidth="1"/>
    <col min="3" max="3" width="15.85546875" customWidth="1"/>
    <col min="4" max="4" width="27.42578125" customWidth="1"/>
    <col min="8" max="8" width="22" customWidth="1"/>
  </cols>
  <sheetData>
    <row r="1" spans="1:7" x14ac:dyDescent="0.25">
      <c r="A1" s="2"/>
      <c r="B1" s="2" t="s">
        <v>78</v>
      </c>
      <c r="C1" s="2" t="s">
        <v>81</v>
      </c>
      <c r="D1" s="2" t="s">
        <v>87</v>
      </c>
      <c r="E1" s="2" t="s">
        <v>88</v>
      </c>
      <c r="F1" s="2"/>
      <c r="G1" s="2"/>
    </row>
    <row r="2" spans="1:7" x14ac:dyDescent="0.25">
      <c r="A2" s="2"/>
      <c r="B2" s="2">
        <v>6</v>
      </c>
      <c r="C2" s="2">
        <v>40</v>
      </c>
      <c r="D2" s="2">
        <f>C2*C2</f>
        <v>1600</v>
      </c>
      <c r="E2" s="2">
        <f>B2*C2</f>
        <v>240</v>
      </c>
      <c r="F2" s="2"/>
      <c r="G2" s="2"/>
    </row>
    <row r="3" spans="1:7" x14ac:dyDescent="0.25">
      <c r="A3" s="2"/>
      <c r="B3" s="2">
        <v>7</v>
      </c>
      <c r="C3" s="2">
        <v>55</v>
      </c>
      <c r="D3" s="2">
        <f t="shared" ref="D3:D8" si="0">C3*C3</f>
        <v>3025</v>
      </c>
      <c r="E3" s="2">
        <f t="shared" ref="E3:E8" si="1">B3*C3</f>
        <v>385</v>
      </c>
      <c r="F3" s="2"/>
      <c r="G3" s="2"/>
    </row>
    <row r="4" spans="1:7" x14ac:dyDescent="0.25">
      <c r="A4" s="2"/>
      <c r="B4" s="2">
        <v>7</v>
      </c>
      <c r="C4" s="2">
        <v>50</v>
      </c>
      <c r="D4" s="2">
        <f t="shared" si="0"/>
        <v>2500</v>
      </c>
      <c r="E4" s="2">
        <f t="shared" si="1"/>
        <v>350</v>
      </c>
      <c r="F4" s="2"/>
      <c r="G4" s="2"/>
    </row>
    <row r="5" spans="1:7" x14ac:dyDescent="0.25">
      <c r="A5" s="2"/>
      <c r="B5" s="2">
        <v>8</v>
      </c>
      <c r="C5" s="2">
        <v>41</v>
      </c>
      <c r="D5" s="2">
        <f t="shared" si="0"/>
        <v>1681</v>
      </c>
      <c r="E5" s="2">
        <f t="shared" si="1"/>
        <v>328</v>
      </c>
      <c r="F5" s="2"/>
      <c r="G5" s="2"/>
    </row>
    <row r="6" spans="1:7" x14ac:dyDescent="0.25">
      <c r="A6" s="2"/>
      <c r="B6" s="2">
        <v>10</v>
      </c>
      <c r="C6" s="2">
        <v>17</v>
      </c>
      <c r="D6" s="2">
        <f t="shared" si="0"/>
        <v>289</v>
      </c>
      <c r="E6" s="2">
        <f t="shared" si="1"/>
        <v>170</v>
      </c>
      <c r="F6" s="2"/>
      <c r="G6" s="2"/>
    </row>
    <row r="7" spans="1:7" x14ac:dyDescent="0.25">
      <c r="A7" s="2"/>
      <c r="B7" s="2">
        <v>10</v>
      </c>
      <c r="C7" s="2">
        <v>26</v>
      </c>
      <c r="D7" s="2">
        <f t="shared" si="0"/>
        <v>676</v>
      </c>
      <c r="E7" s="2">
        <f t="shared" si="1"/>
        <v>260</v>
      </c>
      <c r="F7" s="2"/>
      <c r="G7" s="2"/>
    </row>
    <row r="8" spans="1:7" x14ac:dyDescent="0.25">
      <c r="A8" s="2"/>
      <c r="B8" s="2">
        <v>15</v>
      </c>
      <c r="C8" s="2">
        <v>16</v>
      </c>
      <c r="D8" s="2">
        <f t="shared" si="0"/>
        <v>256</v>
      </c>
      <c r="E8" s="2">
        <f t="shared" si="1"/>
        <v>240</v>
      </c>
      <c r="F8" s="2"/>
      <c r="G8" s="2"/>
    </row>
    <row r="9" spans="1:7" x14ac:dyDescent="0.25">
      <c r="A9" s="2" t="s">
        <v>14</v>
      </c>
      <c r="B9" s="2">
        <f>SUM(B2:B8)</f>
        <v>63</v>
      </c>
      <c r="C9" s="2">
        <f>SUM(C2:C8)</f>
        <v>245</v>
      </c>
      <c r="D9" s="2">
        <f>SUM(D2:D8)</f>
        <v>10027</v>
      </c>
      <c r="E9" s="2">
        <f>SUM(E2:E8)</f>
        <v>1973</v>
      </c>
      <c r="F9" s="2"/>
      <c r="G9" s="2"/>
    </row>
    <row r="10" spans="1:7" x14ac:dyDescent="0.25">
      <c r="A10" s="2"/>
      <c r="B10" s="2"/>
      <c r="C10" s="2"/>
      <c r="D10" s="2"/>
      <c r="E10" s="2" t="s">
        <v>83</v>
      </c>
      <c r="F10" s="2">
        <f>72.28-4.14</f>
        <v>68.14</v>
      </c>
      <c r="G10" s="2"/>
    </row>
    <row r="11" spans="1:7" x14ac:dyDescent="0.25">
      <c r="A11" s="2"/>
      <c r="B11" s="2" t="s">
        <v>91</v>
      </c>
      <c r="C11" s="2">
        <f>SLOPE(C2:C8,B2:B8)</f>
        <v>-4.1428571428571432</v>
      </c>
      <c r="D11" s="2"/>
      <c r="E11" s="2"/>
      <c r="F11" s="2"/>
      <c r="G11" s="2"/>
    </row>
    <row r="12" spans="1:7" x14ac:dyDescent="0.25">
      <c r="A12" s="2"/>
      <c r="B12" s="2" t="s">
        <v>82</v>
      </c>
      <c r="C12" s="2">
        <f>INTERCEPT(C2:C8,B2:B8)</f>
        <v>72.285714285714292</v>
      </c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 t="s">
        <v>92</v>
      </c>
      <c r="C14" s="2">
        <f>C11</f>
        <v>-4.1428571428571432</v>
      </c>
      <c r="D14" s="2"/>
      <c r="E14" s="2"/>
      <c r="F14" s="2"/>
      <c r="G14" s="2"/>
    </row>
    <row r="15" spans="1:7" x14ac:dyDescent="0.25">
      <c r="A15" s="2"/>
      <c r="B15" s="2" t="s">
        <v>85</v>
      </c>
      <c r="C15" s="2">
        <f>CORREL(B2:B8,C2:C8)</f>
        <v>-0.81359948161830287</v>
      </c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 t="s">
        <v>84</v>
      </c>
      <c r="C17" s="2">
        <f>(C15*C15)*100</f>
        <v>66.194411648957114</v>
      </c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 t="s">
        <v>94</v>
      </c>
      <c r="C19" s="2">
        <f>C12+C11*9</f>
        <v>35</v>
      </c>
      <c r="D19" s="2"/>
      <c r="E19" s="2"/>
      <c r="F19" s="2"/>
      <c r="G19" s="2"/>
    </row>
    <row r="20" spans="1:7" x14ac:dyDescent="0.25">
      <c r="A20" s="2"/>
      <c r="B20" s="2" t="s">
        <v>86</v>
      </c>
      <c r="C20" s="2">
        <f>D9-C12*C9-(C11)*E9</f>
        <v>490.85714285714403</v>
      </c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 t="s">
        <v>93</v>
      </c>
      <c r="C22" s="2">
        <v>5</v>
      </c>
      <c r="D22" s="2"/>
      <c r="E22" s="2"/>
      <c r="F22" s="2"/>
      <c r="G22" s="2"/>
    </row>
    <row r="23" spans="1:7" x14ac:dyDescent="0.25">
      <c r="A23" s="2" t="s">
        <v>90</v>
      </c>
      <c r="B23" s="2"/>
      <c r="C23" s="2"/>
      <c r="D23" s="2"/>
      <c r="E23" s="2"/>
      <c r="F23" s="2"/>
      <c r="G23" s="2"/>
    </row>
    <row r="24" spans="1:7" x14ac:dyDescent="0.25">
      <c r="A24" s="2"/>
      <c r="B24" s="2" t="s">
        <v>89</v>
      </c>
      <c r="C24" s="2">
        <f>SQRT(C20/C22)</f>
        <v>9.9081496038074039</v>
      </c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Sheet2</vt:lpstr>
      <vt:lpstr>Sheet6</vt:lpstr>
      <vt:lpstr>Sheet3</vt:lpstr>
      <vt:lpstr>Sheet1</vt:lpstr>
      <vt:lpstr>Sheet4</vt:lpstr>
      <vt:lpstr>Sheet5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2023-02-13T01:31:12Z</dcterms:created>
  <dcterms:modified xsi:type="dcterms:W3CDTF">2023-02-17T08:40:12Z</dcterms:modified>
</cp:coreProperties>
</file>