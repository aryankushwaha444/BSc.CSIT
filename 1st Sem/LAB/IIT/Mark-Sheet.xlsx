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</workbook>
</file>

<file path=xl/calcChain.xml><?xml version="1.0" encoding="utf-8"?>
<calcChain xmlns="http://schemas.openxmlformats.org/spreadsheetml/2006/main">
  <c r="E5" i="2"/>
  <c r="E6"/>
  <c r="E7"/>
  <c r="E4" i="5"/>
  <c r="F4" s="1"/>
  <c r="E5"/>
  <c r="F5" s="1"/>
  <c r="E6"/>
  <c r="F6" s="1"/>
  <c r="E7"/>
  <c r="F7" s="1"/>
  <c r="F5" i="4"/>
  <c r="G5" s="1"/>
  <c r="H4" i="3"/>
  <c r="G4"/>
  <c r="F4"/>
  <c r="G5"/>
  <c r="G6"/>
  <c r="G7"/>
  <c r="G8"/>
  <c r="F5"/>
  <c r="F6"/>
  <c r="F7"/>
  <c r="F8"/>
  <c r="E4" i="2"/>
  <c r="I16" i="1"/>
  <c r="H16"/>
  <c r="J16" s="1"/>
  <c r="H10"/>
  <c r="J23"/>
  <c r="L23" s="1"/>
  <c r="I17"/>
  <c r="I18"/>
  <c r="I19"/>
  <c r="I20"/>
  <c r="I21"/>
  <c r="I22"/>
  <c r="I23"/>
  <c r="I24"/>
  <c r="I25"/>
  <c r="H17"/>
  <c r="H18"/>
  <c r="H19"/>
  <c r="J19" s="1"/>
  <c r="H20"/>
  <c r="H21"/>
  <c r="H22"/>
  <c r="H23"/>
  <c r="H24"/>
  <c r="J24" s="1"/>
  <c r="H25"/>
  <c r="F6" i="4"/>
  <c r="G6" s="1"/>
  <c r="F7"/>
  <c r="G7" s="1"/>
  <c r="F8"/>
  <c r="G8" s="1"/>
  <c r="F9"/>
  <c r="G9" s="1"/>
  <c r="H6" i="3"/>
  <c r="H7"/>
  <c r="H8"/>
  <c r="E8" i="2" l="1"/>
  <c r="E9" s="1"/>
  <c r="E10" s="1"/>
  <c r="H5" i="3"/>
  <c r="K16" i="1"/>
  <c r="J18"/>
  <c r="K18" s="1"/>
  <c r="J20"/>
  <c r="J17"/>
  <c r="K17" s="1"/>
  <c r="J22"/>
  <c r="K22" s="1"/>
  <c r="K23"/>
  <c r="K19"/>
  <c r="K24"/>
  <c r="J25"/>
  <c r="J21"/>
  <c r="H11"/>
  <c r="H12"/>
  <c r="H13"/>
  <c r="H14"/>
  <c r="E12" i="2" l="1"/>
  <c r="E11"/>
  <c r="L16" i="1"/>
  <c r="L19"/>
  <c r="L20"/>
  <c r="L18"/>
  <c r="L17"/>
  <c r="L24"/>
  <c r="K20"/>
  <c r="L22"/>
  <c r="L25"/>
  <c r="K25"/>
  <c r="L21"/>
  <c r="K21"/>
</calcChain>
</file>

<file path=xl/sharedStrings.xml><?xml version="1.0" encoding="utf-8"?>
<sst xmlns="http://schemas.openxmlformats.org/spreadsheetml/2006/main" count="102" uniqueCount="95">
  <si>
    <t>S.No.</t>
  </si>
  <si>
    <t>Subjects Name</t>
  </si>
  <si>
    <t>Full Marks</t>
  </si>
  <si>
    <t>Pass Marks</t>
  </si>
  <si>
    <t>Maths</t>
  </si>
  <si>
    <t>C.Prog.</t>
  </si>
  <si>
    <t>IIT</t>
  </si>
  <si>
    <t>Digital Logic</t>
  </si>
  <si>
    <t>Total</t>
  </si>
  <si>
    <t>Division</t>
  </si>
  <si>
    <t>Ranks</t>
  </si>
  <si>
    <t>Full Marks Prt.</t>
  </si>
  <si>
    <t>Pass Marks Prt.</t>
  </si>
  <si>
    <t>Sonu</t>
  </si>
  <si>
    <t>Bipin</t>
  </si>
  <si>
    <t>Manish</t>
  </si>
  <si>
    <t>Bivek</t>
  </si>
  <si>
    <t>Basant</t>
  </si>
  <si>
    <t>High. Marks</t>
  </si>
  <si>
    <t xml:space="preserve">            PASS 
FAILL</t>
  </si>
  <si>
    <t xml:space="preserve">Percentage
</t>
  </si>
  <si>
    <t>Results</t>
  </si>
  <si>
    <t>Particular</t>
  </si>
  <si>
    <t>Quantity</t>
  </si>
  <si>
    <t>Rate</t>
  </si>
  <si>
    <t>Cost</t>
  </si>
  <si>
    <t>TV</t>
  </si>
  <si>
    <t>VCD</t>
  </si>
  <si>
    <t>Radio</t>
  </si>
  <si>
    <t>Cassette Player</t>
  </si>
  <si>
    <t>Tatal</t>
  </si>
  <si>
    <t>Discount 15%</t>
  </si>
  <si>
    <t>Vat 10%</t>
  </si>
  <si>
    <t>Name</t>
  </si>
  <si>
    <t>Post</t>
  </si>
  <si>
    <t>Address</t>
  </si>
  <si>
    <t>Salary</t>
  </si>
  <si>
    <t>Bonus</t>
  </si>
  <si>
    <t>P.Fund</t>
  </si>
  <si>
    <t>Krishana</t>
  </si>
  <si>
    <t>Shyam</t>
  </si>
  <si>
    <t>Ambika</t>
  </si>
  <si>
    <t>Gita</t>
  </si>
  <si>
    <t>Hari</t>
  </si>
  <si>
    <t>Manager</t>
  </si>
  <si>
    <t>Pro.Coordinator</t>
  </si>
  <si>
    <t>Accountant</t>
  </si>
  <si>
    <t>Marketing</t>
  </si>
  <si>
    <t>Driver</t>
  </si>
  <si>
    <t>Kapan</t>
  </si>
  <si>
    <t>Chabahil</t>
  </si>
  <si>
    <t>Baneshwor</t>
  </si>
  <si>
    <t>Kavre</t>
  </si>
  <si>
    <t>Langkhel</t>
  </si>
  <si>
    <t>Net Salary</t>
  </si>
  <si>
    <t>Name of
Person</t>
  </si>
  <si>
    <t>Capital</t>
  </si>
  <si>
    <t>Time
(YR)</t>
  </si>
  <si>
    <t>Interest
Rate %</t>
  </si>
  <si>
    <t>Interset</t>
  </si>
  <si>
    <t>Total
Amount</t>
  </si>
  <si>
    <t>Sita Ram</t>
  </si>
  <si>
    <t>Ram</t>
  </si>
  <si>
    <t>Puja</t>
  </si>
  <si>
    <t>Consumer
Number</t>
  </si>
  <si>
    <t>Previous
Month
Reading</t>
  </si>
  <si>
    <t>Current
Month
Reading</t>
  </si>
  <si>
    <t>Unit
Consume</t>
  </si>
  <si>
    <t>Bill
Amount</t>
  </si>
  <si>
    <t>Ameet Shrestha</t>
  </si>
  <si>
    <t>Rjit Pradha</t>
  </si>
  <si>
    <t>Kamal Shahi</t>
  </si>
  <si>
    <t>( Preparing Student Result Sheet )</t>
  </si>
  <si>
    <t>Rabin</t>
  </si>
  <si>
    <t>Chopa</t>
  </si>
  <si>
    <t>Monalisa</t>
  </si>
  <si>
    <t>Sunny</t>
  </si>
  <si>
    <t>Leon</t>
  </si>
  <si>
    <t>Preparing Bill</t>
  </si>
  <si>
    <t>Total Amount</t>
  </si>
  <si>
    <t>GrandTotal</t>
  </si>
  <si>
    <t>Name :-  Aaryan Kushawaha
Sec :-  "A"
             Bsc.CSIT</t>
  </si>
  <si>
    <t>Preparing Employee salary Sheet</t>
  </si>
  <si>
    <r>
      <t xml:space="preserve">                                                                                   </t>
    </r>
    <r>
      <rPr>
        <u/>
        <sz val="14"/>
        <color theme="1"/>
        <rFont val="Calibri"/>
        <family val="2"/>
        <scheme val="minor"/>
      </rPr>
      <t xml:space="preserve"> Formulas</t>
    </r>
    <r>
      <rPr>
        <sz val="14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1.)  Bonus :-  =E4*75/100
2.) Provident Fund :-  =E4*10/100
3.)  Net Salary :-  =E4+F4-G4</t>
    </r>
  </si>
  <si>
    <r>
      <t xml:space="preserve">                                                       </t>
    </r>
    <r>
      <rPr>
        <sz val="14"/>
        <color theme="1"/>
        <rFont val="Calibri"/>
        <family val="2"/>
        <scheme val="minor"/>
      </rPr>
      <t xml:space="preserve">Formulas
</t>
    </r>
    <r>
      <rPr>
        <sz val="11"/>
        <color theme="1"/>
        <rFont val="Calibri"/>
        <family val="2"/>
        <scheme val="minor"/>
      </rPr>
      <t>1.) Capital :-   =(C5*D5*E5)/100
2.)  Total Amount :-   =SUM(C5+F5)</t>
    </r>
    <r>
      <rPr>
        <sz val="14"/>
        <color theme="1"/>
        <rFont val="Calibri"/>
        <family val="2"/>
        <scheme val="minor"/>
      </rPr>
      <t xml:space="preserve">
</t>
    </r>
  </si>
  <si>
    <t>Name :- Aaryan Kushawaha
Sec :- "A"
                Bsc.CSIT</t>
  </si>
  <si>
    <t>Name :- Aaryan Kushawaha
Sec. :- "A"
                    Bsc.CSIT</t>
  </si>
  <si>
    <t xml:space="preserve">   </t>
  </si>
  <si>
    <t>Electricity Bill</t>
  </si>
  <si>
    <t xml:space="preserve">                                                                 Formulas
1.)  Units Consume :-  =D4-C4
2.) Bill Amount :-  
 =IF(E4&lt;=20,85,IF(E4&gt;20&amp;E4&lt;=300,(E4-20)*7+85,IF(E4&gt;300,(E4-300)*10+85+280*7)))</t>
  </si>
  <si>
    <t>Name :- Aaryan Kushawaha
Sec. :-  "A"
               Bsc.CSIT</t>
  </si>
  <si>
    <r>
      <rPr>
        <sz val="14"/>
        <color theme="1"/>
        <rFont val="Calibri"/>
        <family val="2"/>
        <scheme val="minor"/>
      </rPr>
      <t xml:space="preserve">MicroSoft College Of Information Technology              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Bsc.CSIT</t>
    </r>
    <r>
      <rPr>
        <sz val="12"/>
        <color theme="1"/>
        <rFont val="Calibri"/>
        <family val="2"/>
        <scheme val="minor"/>
      </rPr>
      <t xml:space="preserve"> PROGRAM First Semester 2070/2071</t>
    </r>
    <r>
      <rPr>
        <sz val="11"/>
        <color theme="1"/>
        <rFont val="Calibri"/>
        <family val="2"/>
        <scheme val="minor"/>
      </rPr>
      <t xml:space="preserve">
End Term Exam Result 2070/2071</t>
    </r>
  </si>
  <si>
    <r>
      <t xml:space="preserve">                                                                                                        </t>
    </r>
    <r>
      <rPr>
        <u/>
        <sz val="14"/>
        <color theme="1"/>
        <rFont val="Calibri"/>
        <family val="2"/>
        <scheme val="minor"/>
      </rPr>
      <t>Formulas</t>
    </r>
    <r>
      <rPr>
        <sz val="11"/>
        <color theme="1"/>
        <rFont val="Calibri"/>
        <family val="2"/>
        <scheme val="minor"/>
      </rPr>
      <t xml:space="preserve">
1.) Total :- =SUM(C16:G16)
2.) Results :-  =IF(AND(C16&gt;=30,D16&gt;=40,E16&gt;=30,F16&gt;=30,G16&gt;=30),"Pass","Failed")
3.) Percentage :-  =IF(AND(C16&gt;=30,D16&gt;=40,E16&gt;=30,F16&gt;=30,G16&gt;=30),H16/$H$10*100,"**")
4.)Division:-=IF(AND(J16="**"),"Failed",IF(AND(J16&gt;=80),"Dist.",IF(AND(J16&gt;=60,J16&lt;80),"1st",IF(AND(J16&gt;=40,J16&lt;60),"passed","Failed"))))
5.) Ranks :-  =IF(AND(J16="**"),"**",RANK(J16,$J$16:$J$225,0))
</t>
    </r>
  </si>
  <si>
    <r>
      <t xml:space="preserve">                                 </t>
    </r>
    <r>
      <rPr>
        <u/>
        <sz val="14"/>
        <color theme="1"/>
        <rFont val="Calibri"/>
        <family val="2"/>
        <scheme val="minor"/>
      </rPr>
      <t xml:space="preserve"> Formulas</t>
    </r>
    <r>
      <rPr>
        <sz val="11"/>
        <color theme="1"/>
        <rFont val="Calibri"/>
        <family val="2"/>
        <scheme val="minor"/>
      </rPr>
      <t xml:space="preserve">
1.) Cost :-  =C4*D4
2.) Total :-  =SUM(E4:E7)
3.)  15% Discount :-  =E8*15/100
4.) Total Amount :-  =E8-E9
5.) 10 % VAT :- =E10*10/100
6.)Grand Total :-  =E10+E11</t>
    </r>
  </si>
  <si>
    <t>Interest - Sheet</t>
  </si>
</sst>
</file>

<file path=xl/styles.xml><?xml version="1.0" encoding="utf-8"?>
<styleSheet xmlns="http://schemas.openxmlformats.org/spreadsheetml/2006/main">
  <numFmts count="1">
    <numFmt numFmtId="164" formatCode="[$रु-461]\ #,##0.00"/>
  </numFmts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medium">
        <color indexed="64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3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008000"/>
      <color rgb="FFFFFF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view="pageLayout" topLeftCell="A17" zoomScaleNormal="70" workbookViewId="0">
      <selection activeCell="A33" sqref="A33:I36"/>
    </sheetView>
  </sheetViews>
  <sheetFormatPr defaultRowHeight="15"/>
  <cols>
    <col min="2" max="2" width="14.5703125" customWidth="1"/>
    <col min="7" max="7" width="13.140625" customWidth="1"/>
    <col min="9" max="9" width="13.7109375" customWidth="1"/>
    <col min="10" max="10" width="11" customWidth="1"/>
  </cols>
  <sheetData>
    <row r="1" spans="1:16" ht="0.75" customHeight="1"/>
    <row r="2" spans="1:16" hidden="1"/>
    <row r="3" spans="1:16" ht="42" hidden="1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6">
      <c r="A4" s="36"/>
      <c r="B4" s="17" t="s">
        <v>72</v>
      </c>
      <c r="C4" s="17"/>
      <c r="D4" s="17"/>
      <c r="E4" s="17"/>
      <c r="F4" s="17"/>
      <c r="G4" s="17"/>
      <c r="H4" s="17"/>
      <c r="I4" s="17"/>
      <c r="J4" s="17"/>
      <c r="K4" s="17"/>
      <c r="L4" s="18"/>
      <c r="M4" s="3"/>
      <c r="N4" s="3"/>
      <c r="O4" s="3"/>
    </row>
    <row r="5" spans="1:16">
      <c r="A5" s="37"/>
      <c r="B5" s="15" t="s">
        <v>91</v>
      </c>
      <c r="C5" s="15"/>
      <c r="D5" s="15"/>
      <c r="E5" s="15"/>
      <c r="F5" s="15"/>
      <c r="G5" s="15"/>
      <c r="H5" s="15"/>
      <c r="I5" s="15"/>
      <c r="J5" s="15"/>
      <c r="K5" s="15"/>
      <c r="L5" s="16"/>
      <c r="M5" s="3"/>
      <c r="N5" s="3"/>
      <c r="O5" s="3"/>
    </row>
    <row r="6" spans="1:16">
      <c r="A6" s="37"/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  <c r="M6" s="3"/>
      <c r="N6" s="3"/>
      <c r="O6" s="3"/>
    </row>
    <row r="7" spans="1:16">
      <c r="A7" s="37"/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  <c r="M7" s="3"/>
      <c r="N7" s="3"/>
      <c r="O7" s="3"/>
    </row>
    <row r="8" spans="1:16">
      <c r="A8" s="38"/>
      <c r="B8" s="15"/>
      <c r="C8" s="15"/>
      <c r="D8" s="15"/>
      <c r="E8" s="15"/>
      <c r="F8" s="15"/>
      <c r="G8" s="15"/>
      <c r="H8" s="15"/>
      <c r="I8" s="15"/>
      <c r="J8" s="15"/>
      <c r="K8" s="15"/>
      <c r="L8" s="16"/>
      <c r="M8" s="3"/>
      <c r="N8" s="65"/>
      <c r="O8" s="3"/>
    </row>
    <row r="9" spans="1:16" ht="15.75" customHeight="1">
      <c r="A9" s="33" t="s">
        <v>0</v>
      </c>
      <c r="B9" s="6" t="s">
        <v>1</v>
      </c>
      <c r="C9" s="6"/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21</v>
      </c>
      <c r="J9" s="28" t="s">
        <v>20</v>
      </c>
      <c r="K9" s="25" t="s">
        <v>9</v>
      </c>
      <c r="L9" s="25" t="s">
        <v>10</v>
      </c>
    </row>
    <row r="10" spans="1:16">
      <c r="A10" s="34"/>
      <c r="B10" s="6" t="s">
        <v>2</v>
      </c>
      <c r="C10" s="6">
        <v>60</v>
      </c>
      <c r="D10" s="6">
        <v>80</v>
      </c>
      <c r="E10" s="6">
        <v>60</v>
      </c>
      <c r="F10" s="6">
        <v>60</v>
      </c>
      <c r="G10" s="6">
        <v>60</v>
      </c>
      <c r="H10" s="6">
        <f>SUM(C10:G10)</f>
        <v>320</v>
      </c>
      <c r="I10" s="26" t="s">
        <v>19</v>
      </c>
      <c r="J10" s="28"/>
      <c r="K10" s="25"/>
      <c r="L10" s="25"/>
    </row>
    <row r="11" spans="1:16">
      <c r="A11" s="34"/>
      <c r="B11" s="6" t="s">
        <v>3</v>
      </c>
      <c r="C11" s="6">
        <v>30</v>
      </c>
      <c r="D11" s="6">
        <v>40</v>
      </c>
      <c r="E11" s="6">
        <v>30</v>
      </c>
      <c r="F11" s="6">
        <v>30</v>
      </c>
      <c r="G11" s="6">
        <v>30</v>
      </c>
      <c r="H11" s="6">
        <f t="shared" ref="H11:H14" si="0">SUM(C11:G11)</f>
        <v>160</v>
      </c>
      <c r="I11" s="27"/>
      <c r="J11" s="28"/>
      <c r="K11" s="25"/>
      <c r="L11" s="25"/>
    </row>
    <row r="12" spans="1:16">
      <c r="A12" s="34"/>
      <c r="B12" s="6" t="s">
        <v>11</v>
      </c>
      <c r="C12" s="6">
        <v>40</v>
      </c>
      <c r="D12" s="6">
        <v>20</v>
      </c>
      <c r="E12" s="6">
        <v>40</v>
      </c>
      <c r="F12" s="6">
        <v>40</v>
      </c>
      <c r="G12" s="6">
        <v>40</v>
      </c>
      <c r="H12" s="6">
        <f t="shared" si="0"/>
        <v>180</v>
      </c>
      <c r="I12" s="27"/>
      <c r="J12" s="28"/>
      <c r="K12" s="25"/>
      <c r="L12" s="25"/>
    </row>
    <row r="13" spans="1:16">
      <c r="A13" s="34"/>
      <c r="B13" s="6" t="s">
        <v>12</v>
      </c>
      <c r="C13" s="6">
        <v>20</v>
      </c>
      <c r="D13" s="6">
        <v>10</v>
      </c>
      <c r="E13" s="6">
        <v>20</v>
      </c>
      <c r="F13" s="6">
        <v>20</v>
      </c>
      <c r="G13" s="6">
        <v>20</v>
      </c>
      <c r="H13" s="6">
        <f t="shared" si="0"/>
        <v>90</v>
      </c>
      <c r="I13" s="27"/>
      <c r="J13" s="28"/>
      <c r="K13" s="25"/>
      <c r="L13" s="25"/>
      <c r="M13" s="1"/>
      <c r="N13" s="1"/>
      <c r="O13" s="1"/>
      <c r="P13" s="1"/>
    </row>
    <row r="14" spans="1:16">
      <c r="A14" s="35"/>
      <c r="B14" s="6" t="s">
        <v>18</v>
      </c>
      <c r="C14" s="6">
        <v>58</v>
      </c>
      <c r="D14" s="6">
        <v>80</v>
      </c>
      <c r="E14" s="6">
        <v>56</v>
      </c>
      <c r="F14" s="6">
        <v>58</v>
      </c>
      <c r="G14" s="6">
        <v>58</v>
      </c>
      <c r="H14" s="6">
        <f t="shared" si="0"/>
        <v>310</v>
      </c>
      <c r="I14" s="27"/>
      <c r="J14" s="28"/>
      <c r="K14" s="25"/>
      <c r="L14" s="25"/>
    </row>
    <row r="15" spans="1:16" ht="0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6">
      <c r="A16" s="6">
        <v>1</v>
      </c>
      <c r="B16" s="6" t="s">
        <v>13</v>
      </c>
      <c r="C16" s="6">
        <v>58</v>
      </c>
      <c r="D16" s="6">
        <v>79</v>
      </c>
      <c r="E16" s="6">
        <v>56</v>
      </c>
      <c r="F16" s="6">
        <v>58</v>
      </c>
      <c r="G16" s="6">
        <v>58</v>
      </c>
      <c r="H16" s="6">
        <f>SUM(C16:G16)</f>
        <v>309</v>
      </c>
      <c r="I16" s="6" t="str">
        <f>IF(AND(C16&gt;=30,D16&gt;=40,E16&gt;=30,F16&gt;=30,G16&gt;=30),"Pass","Failed")</f>
        <v>Pass</v>
      </c>
      <c r="J16" s="6">
        <f t="shared" ref="J16:J25" si="1">IF(AND(C16&gt;=30,D16&gt;=40,E16&gt;=30,F16&gt;=30,G16&gt;=30),H16/$H$10*100,"**")</f>
        <v>96.5625</v>
      </c>
      <c r="K16" s="8" t="str">
        <f>IF(AND(J16="**"),"Failed",IF(AND(J16&gt;=80),"Dist.",IF(AND(J16&gt;=60,J16&lt;80),"1st",IF(AND(J16&gt;=40,J16&lt;60),"passed","Failed"))))</f>
        <v>Dist.</v>
      </c>
      <c r="L16" s="6">
        <f t="shared" ref="L16:L25" si="2">IF(AND(J16="**"),"**",RANK(J16,$J$16:$J$225,0))</f>
        <v>1</v>
      </c>
    </row>
    <row r="17" spans="1:14">
      <c r="A17" s="6">
        <v>2</v>
      </c>
      <c r="B17" s="6" t="s">
        <v>14</v>
      </c>
      <c r="C17" s="6">
        <v>57</v>
      </c>
      <c r="D17" s="6">
        <v>70</v>
      </c>
      <c r="E17" s="6">
        <v>56</v>
      </c>
      <c r="F17" s="6">
        <v>58</v>
      </c>
      <c r="G17" s="6">
        <v>58</v>
      </c>
      <c r="H17" s="6">
        <f t="shared" ref="H17:H25" si="3">SUM(C17:G17)</f>
        <v>299</v>
      </c>
      <c r="I17" s="6" t="str">
        <f t="shared" ref="I17:I25" si="4">IF(AND(C17&gt;=30,D17&gt;=40,E17&gt;=30,F17&gt;=30,G17&gt;=30),"Pass","Failed")</f>
        <v>Pass</v>
      </c>
      <c r="J17" s="6">
        <f t="shared" si="1"/>
        <v>93.4375</v>
      </c>
      <c r="K17" s="8" t="str">
        <f t="shared" ref="K17:K25" si="5">IF(AND(J17="**"),"Failed",IF(AND(J17&gt;=80),"Dist.",IF(AND(J17&gt;=60,J17&lt;80),"1st",IF(AND(J17&gt;=40,J17&lt;60),"passed","Failed"))))</f>
        <v>Dist.</v>
      </c>
      <c r="L17" s="6">
        <f t="shared" si="2"/>
        <v>2</v>
      </c>
    </row>
    <row r="18" spans="1:14">
      <c r="A18" s="6">
        <v>3</v>
      </c>
      <c r="B18" s="6" t="s">
        <v>15</v>
      </c>
      <c r="C18" s="6">
        <v>30</v>
      </c>
      <c r="D18" s="6">
        <v>40</v>
      </c>
      <c r="E18" s="6">
        <v>30</v>
      </c>
      <c r="F18" s="6">
        <v>40</v>
      </c>
      <c r="G18" s="6">
        <v>50</v>
      </c>
      <c r="H18" s="6">
        <f t="shared" si="3"/>
        <v>190</v>
      </c>
      <c r="I18" s="6" t="str">
        <f t="shared" si="4"/>
        <v>Pass</v>
      </c>
      <c r="J18" s="6">
        <f t="shared" si="1"/>
        <v>59.375</v>
      </c>
      <c r="K18" s="6" t="str">
        <f t="shared" si="5"/>
        <v>passed</v>
      </c>
      <c r="L18" s="6">
        <f t="shared" si="2"/>
        <v>9</v>
      </c>
    </row>
    <row r="19" spans="1:14">
      <c r="A19" s="6">
        <v>4</v>
      </c>
      <c r="B19" s="6" t="s">
        <v>16</v>
      </c>
      <c r="C19" s="6">
        <v>50</v>
      </c>
      <c r="D19" s="6">
        <v>50</v>
      </c>
      <c r="E19" s="6">
        <v>30</v>
      </c>
      <c r="F19" s="6">
        <v>50</v>
      </c>
      <c r="G19" s="6">
        <v>45</v>
      </c>
      <c r="H19" s="6">
        <f t="shared" si="3"/>
        <v>225</v>
      </c>
      <c r="I19" s="6" t="str">
        <f t="shared" si="4"/>
        <v>Pass</v>
      </c>
      <c r="J19" s="6">
        <f t="shared" si="1"/>
        <v>70.3125</v>
      </c>
      <c r="K19" s="9" t="str">
        <f t="shared" si="5"/>
        <v>1st</v>
      </c>
      <c r="L19" s="6">
        <f t="shared" si="2"/>
        <v>5</v>
      </c>
    </row>
    <row r="20" spans="1:14">
      <c r="A20" s="6">
        <v>5</v>
      </c>
      <c r="B20" s="6" t="s">
        <v>17</v>
      </c>
      <c r="C20" s="6">
        <v>50</v>
      </c>
      <c r="D20" s="6">
        <v>40</v>
      </c>
      <c r="E20" s="6">
        <v>45</v>
      </c>
      <c r="F20" s="6">
        <v>55</v>
      </c>
      <c r="G20" s="6">
        <v>55</v>
      </c>
      <c r="H20" s="6">
        <f t="shared" si="3"/>
        <v>245</v>
      </c>
      <c r="I20" s="6" t="str">
        <f t="shared" si="4"/>
        <v>Pass</v>
      </c>
      <c r="J20" s="6">
        <f t="shared" si="1"/>
        <v>76.5625</v>
      </c>
      <c r="K20" s="9" t="str">
        <f t="shared" si="5"/>
        <v>1st</v>
      </c>
      <c r="L20" s="6">
        <f t="shared" si="2"/>
        <v>3</v>
      </c>
    </row>
    <row r="21" spans="1:14">
      <c r="A21" s="6">
        <v>6</v>
      </c>
      <c r="B21" s="6" t="s">
        <v>73</v>
      </c>
      <c r="C21" s="6">
        <v>48</v>
      </c>
      <c r="D21" s="6">
        <v>45</v>
      </c>
      <c r="E21" s="6">
        <v>45</v>
      </c>
      <c r="F21" s="6">
        <v>40</v>
      </c>
      <c r="G21" s="6">
        <v>30</v>
      </c>
      <c r="H21" s="6">
        <f t="shared" si="3"/>
        <v>208</v>
      </c>
      <c r="I21" s="6" t="str">
        <f t="shared" si="4"/>
        <v>Pass</v>
      </c>
      <c r="J21" s="6">
        <f t="shared" si="1"/>
        <v>65</v>
      </c>
      <c r="K21" s="9" t="str">
        <f t="shared" si="5"/>
        <v>1st</v>
      </c>
      <c r="L21" s="6">
        <f t="shared" si="2"/>
        <v>6</v>
      </c>
    </row>
    <row r="22" spans="1:14">
      <c r="A22" s="6">
        <v>7</v>
      </c>
      <c r="B22" s="6" t="s">
        <v>74</v>
      </c>
      <c r="C22" s="6">
        <v>40</v>
      </c>
      <c r="D22" s="6">
        <v>40</v>
      </c>
      <c r="E22" s="6">
        <v>55</v>
      </c>
      <c r="F22" s="6">
        <v>30</v>
      </c>
      <c r="G22" s="6">
        <v>31</v>
      </c>
      <c r="H22" s="6">
        <f t="shared" si="3"/>
        <v>196</v>
      </c>
      <c r="I22" s="6" t="str">
        <f t="shared" si="4"/>
        <v>Pass</v>
      </c>
      <c r="J22" s="6">
        <f t="shared" si="1"/>
        <v>61.250000000000007</v>
      </c>
      <c r="K22" s="9" t="str">
        <f t="shared" si="5"/>
        <v>1st</v>
      </c>
      <c r="L22" s="6">
        <f t="shared" si="2"/>
        <v>8</v>
      </c>
      <c r="N22" s="2"/>
    </row>
    <row r="23" spans="1:14">
      <c r="A23" s="6">
        <v>8</v>
      </c>
      <c r="B23" s="6" t="s">
        <v>75</v>
      </c>
      <c r="C23" s="6">
        <v>48</v>
      </c>
      <c r="D23" s="6">
        <v>15</v>
      </c>
      <c r="E23" s="6">
        <v>32</v>
      </c>
      <c r="F23" s="6">
        <v>35</v>
      </c>
      <c r="G23" s="6">
        <v>15</v>
      </c>
      <c r="H23" s="6">
        <f t="shared" si="3"/>
        <v>145</v>
      </c>
      <c r="I23" s="6" t="str">
        <f t="shared" si="4"/>
        <v>Failed</v>
      </c>
      <c r="J23" s="6" t="str">
        <f t="shared" si="1"/>
        <v>**</v>
      </c>
      <c r="K23" s="10" t="str">
        <f t="shared" si="5"/>
        <v>Failed</v>
      </c>
      <c r="L23" s="6" t="str">
        <f t="shared" si="2"/>
        <v>**</v>
      </c>
    </row>
    <row r="24" spans="1:14">
      <c r="A24" s="6">
        <v>9</v>
      </c>
      <c r="B24" s="6" t="s">
        <v>76</v>
      </c>
      <c r="C24" s="6">
        <v>50</v>
      </c>
      <c r="D24" s="6">
        <v>40</v>
      </c>
      <c r="E24" s="6">
        <v>30</v>
      </c>
      <c r="F24" s="6">
        <v>45</v>
      </c>
      <c r="G24" s="6">
        <v>32</v>
      </c>
      <c r="H24" s="6">
        <f t="shared" si="3"/>
        <v>197</v>
      </c>
      <c r="I24" s="6" t="str">
        <f t="shared" si="4"/>
        <v>Pass</v>
      </c>
      <c r="J24" s="6">
        <f t="shared" si="1"/>
        <v>61.5625</v>
      </c>
      <c r="K24" s="9" t="str">
        <f t="shared" si="5"/>
        <v>1st</v>
      </c>
      <c r="L24" s="6">
        <f t="shared" si="2"/>
        <v>7</v>
      </c>
    </row>
    <row r="25" spans="1:14">
      <c r="A25" s="6">
        <v>10</v>
      </c>
      <c r="B25" s="6" t="s">
        <v>77</v>
      </c>
      <c r="C25" s="6">
        <v>52</v>
      </c>
      <c r="D25" s="6">
        <v>52</v>
      </c>
      <c r="E25" s="6">
        <v>30</v>
      </c>
      <c r="F25" s="6">
        <v>55</v>
      </c>
      <c r="G25" s="6">
        <v>50</v>
      </c>
      <c r="H25" s="6">
        <f t="shared" si="3"/>
        <v>239</v>
      </c>
      <c r="I25" s="6" t="str">
        <f t="shared" si="4"/>
        <v>Pass</v>
      </c>
      <c r="J25" s="6">
        <f t="shared" si="1"/>
        <v>74.6875</v>
      </c>
      <c r="K25" s="9" t="str">
        <f t="shared" si="5"/>
        <v>1st</v>
      </c>
      <c r="L25" s="6">
        <f t="shared" si="2"/>
        <v>4</v>
      </c>
    </row>
    <row r="26" spans="1:14" ht="15" customHeight="1">
      <c r="A26" s="19" t="s">
        <v>92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4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N27" s="4"/>
    </row>
    <row r="28" spans="1:14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4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4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N30" s="5"/>
    </row>
    <row r="31" spans="1:14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4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>
      <c r="A33" s="29"/>
      <c r="B33" s="30"/>
      <c r="C33" s="30"/>
      <c r="D33" s="30"/>
      <c r="E33" s="30"/>
      <c r="F33" s="30"/>
      <c r="G33" s="30"/>
      <c r="H33" s="30"/>
      <c r="I33" s="30"/>
      <c r="J33" s="22"/>
      <c r="K33" s="23"/>
      <c r="L33" s="24"/>
    </row>
    <row r="34" spans="1:12">
      <c r="A34" s="29"/>
      <c r="B34" s="30"/>
      <c r="C34" s="30"/>
      <c r="D34" s="30"/>
      <c r="E34" s="30"/>
      <c r="F34" s="30"/>
      <c r="G34" s="30"/>
      <c r="H34" s="30"/>
      <c r="I34" s="30"/>
      <c r="J34" s="23"/>
      <c r="K34" s="23"/>
      <c r="L34" s="24"/>
    </row>
    <row r="35" spans="1:12">
      <c r="A35" s="29"/>
      <c r="B35" s="30"/>
      <c r="C35" s="30"/>
      <c r="D35" s="30"/>
      <c r="E35" s="30"/>
      <c r="F35" s="30"/>
      <c r="G35" s="30"/>
      <c r="H35" s="30"/>
      <c r="I35" s="30"/>
      <c r="J35" s="23"/>
      <c r="K35" s="23"/>
      <c r="L35" s="24"/>
    </row>
    <row r="36" spans="1:12">
      <c r="A36" s="31"/>
      <c r="B36" s="32"/>
      <c r="C36" s="32"/>
      <c r="D36" s="32"/>
      <c r="E36" s="32"/>
      <c r="F36" s="32"/>
      <c r="G36" s="32"/>
      <c r="H36" s="32"/>
      <c r="I36" s="32"/>
      <c r="J36" s="58"/>
      <c r="K36" s="58"/>
      <c r="L36" s="59"/>
    </row>
  </sheetData>
  <mergeCells count="13">
    <mergeCell ref="B5:L8"/>
    <mergeCell ref="B4:L4"/>
    <mergeCell ref="A26:L32"/>
    <mergeCell ref="J33:L35"/>
    <mergeCell ref="A15:L15"/>
    <mergeCell ref="I10:I14"/>
    <mergeCell ref="J9:J14"/>
    <mergeCell ref="K9:K14"/>
    <mergeCell ref="L9:L14"/>
    <mergeCell ref="A33:I36"/>
    <mergeCell ref="J36:L36"/>
    <mergeCell ref="A9:A14"/>
    <mergeCell ref="A4:A8"/>
  </mergeCells>
  <conditionalFormatting sqref="I16:I25">
    <cfRule type="containsText" dxfId="3" priority="4" operator="containsText" text="faill">
      <formula>NOT(ISERROR(SEARCH("faill",I16)))</formula>
    </cfRule>
  </conditionalFormatting>
  <conditionalFormatting sqref="I23">
    <cfRule type="containsText" dxfId="2" priority="3" operator="containsText" text="faill">
      <formula>NOT(ISERROR(SEARCH("faill",I23)))</formula>
    </cfRule>
  </conditionalFormatting>
  <conditionalFormatting sqref="K16:K25">
    <cfRule type="containsText" dxfId="1" priority="1" operator="containsText" text="Passed">
      <formula>NOT(ISERROR(SEARCH("Passed",K16)))</formula>
    </cfRule>
    <cfRule type="containsText" dxfId="0" priority="2" operator="containsText" text="Failed">
      <formula>NOT(ISERROR(SEARCH("Failed",K16)))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>
    <oddHeader xml:space="preserve">&amp;CName :- Aaryan Kushawaha
</oddHeader>
    <oddFooter xml:space="preserve">&amp;CBsc.CSIT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2:H22"/>
  <sheetViews>
    <sheetView topLeftCell="A8" zoomScale="115" zoomScaleNormal="115" workbookViewId="0">
      <selection activeCell="D27" sqref="D27"/>
    </sheetView>
  </sheetViews>
  <sheetFormatPr defaultRowHeight="15"/>
  <cols>
    <col min="2" max="2" width="15" customWidth="1"/>
    <col min="4" max="4" width="13.28515625" customWidth="1"/>
    <col min="5" max="5" width="13.140625" bestFit="1" customWidth="1"/>
  </cols>
  <sheetData>
    <row r="2" spans="1:8" ht="18.75">
      <c r="A2" s="39" t="s">
        <v>78</v>
      </c>
      <c r="B2" s="40"/>
      <c r="C2" s="40"/>
      <c r="D2" s="40"/>
      <c r="E2" s="40"/>
    </row>
    <row r="3" spans="1:8">
      <c r="A3" s="6" t="s">
        <v>0</v>
      </c>
      <c r="B3" s="6" t="s">
        <v>22</v>
      </c>
      <c r="C3" s="6" t="s">
        <v>23</v>
      </c>
      <c r="D3" s="6" t="s">
        <v>24</v>
      </c>
      <c r="E3" s="6" t="s">
        <v>25</v>
      </c>
    </row>
    <row r="4" spans="1:8">
      <c r="A4" s="6">
        <v>1</v>
      </c>
      <c r="B4" s="6" t="s">
        <v>26</v>
      </c>
      <c r="C4" s="6">
        <v>20</v>
      </c>
      <c r="D4" s="12">
        <v>2100</v>
      </c>
      <c r="E4" s="12">
        <f>C4*D4</f>
        <v>42000</v>
      </c>
    </row>
    <row r="5" spans="1:8">
      <c r="A5" s="6">
        <v>2</v>
      </c>
      <c r="B5" s="6" t="s">
        <v>27</v>
      </c>
      <c r="C5" s="6">
        <v>15</v>
      </c>
      <c r="D5" s="12">
        <v>12000</v>
      </c>
      <c r="E5" s="12">
        <f t="shared" ref="E5:E7" si="0">C5*D5</f>
        <v>180000</v>
      </c>
    </row>
    <row r="6" spans="1:8">
      <c r="A6" s="6">
        <v>3</v>
      </c>
      <c r="B6" s="6" t="s">
        <v>28</v>
      </c>
      <c r="C6" s="6">
        <v>12</v>
      </c>
      <c r="D6" s="12">
        <v>5000</v>
      </c>
      <c r="E6" s="12">
        <f t="shared" si="0"/>
        <v>60000</v>
      </c>
    </row>
    <row r="7" spans="1:8">
      <c r="A7" s="6">
        <v>4</v>
      </c>
      <c r="B7" s="6" t="s">
        <v>29</v>
      </c>
      <c r="C7" s="6">
        <v>18</v>
      </c>
      <c r="D7" s="12">
        <v>11000</v>
      </c>
      <c r="E7" s="12">
        <f t="shared" si="0"/>
        <v>198000</v>
      </c>
    </row>
    <row r="8" spans="1:8">
      <c r="A8" s="25"/>
      <c r="B8" s="25"/>
      <c r="C8" s="25"/>
      <c r="D8" s="6" t="s">
        <v>30</v>
      </c>
      <c r="E8" s="12">
        <f>SUM(E4:E7)</f>
        <v>480000</v>
      </c>
    </row>
    <row r="9" spans="1:8">
      <c r="A9" s="25"/>
      <c r="B9" s="25"/>
      <c r="C9" s="25"/>
      <c r="D9" s="6" t="s">
        <v>31</v>
      </c>
      <c r="E9" s="12">
        <f>E8*15/100</f>
        <v>72000</v>
      </c>
    </row>
    <row r="10" spans="1:8">
      <c r="A10" s="25"/>
      <c r="B10" s="25"/>
      <c r="C10" s="25"/>
      <c r="D10" s="6" t="s">
        <v>79</v>
      </c>
      <c r="E10" s="12">
        <f>E8-E9</f>
        <v>408000</v>
      </c>
    </row>
    <row r="11" spans="1:8">
      <c r="A11" s="25"/>
      <c r="B11" s="25"/>
      <c r="C11" s="25"/>
      <c r="D11" s="6" t="s">
        <v>32</v>
      </c>
      <c r="E11" s="12">
        <f>E10*10/100</f>
        <v>40800</v>
      </c>
    </row>
    <row r="12" spans="1:8" ht="15.75" customHeight="1">
      <c r="A12" s="50"/>
      <c r="B12" s="50"/>
      <c r="C12" s="50"/>
      <c r="D12" s="13" t="s">
        <v>80</v>
      </c>
      <c r="E12" s="14">
        <f>E10+E11</f>
        <v>448800</v>
      </c>
      <c r="H12" s="5"/>
    </row>
    <row r="13" spans="1:8" ht="15" customHeight="1">
      <c r="A13" s="41" t="s">
        <v>93</v>
      </c>
      <c r="B13" s="42"/>
      <c r="C13" s="42"/>
      <c r="D13" s="42"/>
      <c r="E13" s="43"/>
    </row>
    <row r="14" spans="1:8">
      <c r="A14" s="44"/>
      <c r="B14" s="45"/>
      <c r="C14" s="45"/>
      <c r="D14" s="45"/>
      <c r="E14" s="46"/>
    </row>
    <row r="15" spans="1:8">
      <c r="A15" s="44"/>
      <c r="B15" s="45"/>
      <c r="C15" s="45"/>
      <c r="D15" s="45"/>
      <c r="E15" s="46"/>
    </row>
    <row r="16" spans="1:8">
      <c r="A16" s="44"/>
      <c r="B16" s="45"/>
      <c r="C16" s="45"/>
      <c r="D16" s="45"/>
      <c r="E16" s="46"/>
    </row>
    <row r="17" spans="1:5">
      <c r="A17" s="44"/>
      <c r="B17" s="45"/>
      <c r="C17" s="45"/>
      <c r="D17" s="45"/>
      <c r="E17" s="46"/>
    </row>
    <row r="18" spans="1:5">
      <c r="A18" s="44"/>
      <c r="B18" s="45"/>
      <c r="C18" s="45"/>
      <c r="D18" s="45"/>
      <c r="E18" s="46"/>
    </row>
    <row r="19" spans="1:5" ht="18" customHeight="1">
      <c r="A19" s="47"/>
      <c r="B19" s="48"/>
      <c r="C19" s="48"/>
      <c r="D19" s="48"/>
      <c r="E19" s="49"/>
    </row>
    <row r="20" spans="1:5">
      <c r="C20" s="41" t="s">
        <v>81</v>
      </c>
      <c r="D20" s="42"/>
      <c r="E20" s="43"/>
    </row>
    <row r="21" spans="1:5">
      <c r="C21" s="44"/>
      <c r="D21" s="45"/>
      <c r="E21" s="46"/>
    </row>
    <row r="22" spans="1:5">
      <c r="C22" s="47"/>
      <c r="D22" s="48"/>
      <c r="E22" s="49"/>
    </row>
  </sheetData>
  <mergeCells count="4">
    <mergeCell ref="A2:E2"/>
    <mergeCell ref="A13:E19"/>
    <mergeCell ref="C20:E22"/>
    <mergeCell ref="A8:C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topLeftCell="A2" workbookViewId="0">
      <selection activeCell="J18" sqref="J18"/>
    </sheetView>
  </sheetViews>
  <sheetFormatPr defaultRowHeight="15"/>
  <cols>
    <col min="3" max="3" width="16.140625" customWidth="1"/>
    <col min="4" max="4" width="11.5703125" customWidth="1"/>
    <col min="5" max="5" width="11.140625" bestFit="1" customWidth="1"/>
    <col min="6" max="7" width="10.140625" bestFit="1" customWidth="1"/>
    <col min="8" max="8" width="11.28515625" customWidth="1"/>
  </cols>
  <sheetData>
    <row r="1" spans="1:8" ht="2.25" hidden="1" customHeight="1"/>
    <row r="2" spans="1:8" ht="18.75">
      <c r="A2" s="39" t="s">
        <v>82</v>
      </c>
      <c r="B2" s="51"/>
      <c r="C2" s="51"/>
      <c r="D2" s="51"/>
      <c r="E2" s="51"/>
      <c r="F2" s="51"/>
      <c r="G2" s="51"/>
      <c r="H2" s="51"/>
    </row>
    <row r="3" spans="1:8">
      <c r="A3" s="6" t="s">
        <v>0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54</v>
      </c>
    </row>
    <row r="4" spans="1:8">
      <c r="A4" s="6">
        <v>1</v>
      </c>
      <c r="B4" s="6" t="s">
        <v>39</v>
      </c>
      <c r="C4" s="6" t="s">
        <v>44</v>
      </c>
      <c r="D4" s="6" t="s">
        <v>49</v>
      </c>
      <c r="E4" s="12">
        <v>12000</v>
      </c>
      <c r="F4" s="12">
        <f>E4*75/100</f>
        <v>9000</v>
      </c>
      <c r="G4" s="12">
        <f>E4*10/100</f>
        <v>1200</v>
      </c>
      <c r="H4" s="12">
        <f>E4+F4-G4</f>
        <v>19800</v>
      </c>
    </row>
    <row r="5" spans="1:8">
      <c r="A5" s="6">
        <v>2</v>
      </c>
      <c r="B5" s="6" t="s">
        <v>40</v>
      </c>
      <c r="C5" s="6" t="s">
        <v>45</v>
      </c>
      <c r="D5" s="6" t="s">
        <v>50</v>
      </c>
      <c r="E5" s="12">
        <v>8500</v>
      </c>
      <c r="F5" s="12">
        <f t="shared" ref="F5:F8" si="0">E5*75/100</f>
        <v>6375</v>
      </c>
      <c r="G5" s="12">
        <f t="shared" ref="G5:G8" si="1">E5*10/100</f>
        <v>850</v>
      </c>
      <c r="H5" s="12">
        <f t="shared" ref="H5:H8" si="2">E5+F5-G5</f>
        <v>14025</v>
      </c>
    </row>
    <row r="6" spans="1:8">
      <c r="A6" s="6">
        <v>3</v>
      </c>
      <c r="B6" s="6" t="s">
        <v>41</v>
      </c>
      <c r="C6" s="6" t="s">
        <v>46</v>
      </c>
      <c r="D6" s="6" t="s">
        <v>51</v>
      </c>
      <c r="E6" s="12">
        <v>7800</v>
      </c>
      <c r="F6" s="12">
        <f t="shared" si="0"/>
        <v>5850</v>
      </c>
      <c r="G6" s="12">
        <f t="shared" si="1"/>
        <v>780</v>
      </c>
      <c r="H6" s="12">
        <f t="shared" si="2"/>
        <v>12870</v>
      </c>
    </row>
    <row r="7" spans="1:8">
      <c r="A7" s="6">
        <v>4</v>
      </c>
      <c r="B7" s="6" t="s">
        <v>42</v>
      </c>
      <c r="C7" s="6" t="s">
        <v>47</v>
      </c>
      <c r="D7" s="6" t="s">
        <v>52</v>
      </c>
      <c r="E7" s="12">
        <v>6000</v>
      </c>
      <c r="F7" s="12">
        <f t="shared" si="0"/>
        <v>4500</v>
      </c>
      <c r="G7" s="12">
        <f t="shared" si="1"/>
        <v>600</v>
      </c>
      <c r="H7" s="12">
        <f t="shared" si="2"/>
        <v>9900</v>
      </c>
    </row>
    <row r="8" spans="1:8">
      <c r="A8" s="6">
        <v>5</v>
      </c>
      <c r="B8" s="6" t="s">
        <v>43</v>
      </c>
      <c r="C8" s="6" t="s">
        <v>48</v>
      </c>
      <c r="D8" s="6" t="s">
        <v>53</v>
      </c>
      <c r="E8" s="12">
        <v>5000</v>
      </c>
      <c r="F8" s="12">
        <f t="shared" si="0"/>
        <v>3750</v>
      </c>
      <c r="G8" s="12">
        <f t="shared" si="1"/>
        <v>500</v>
      </c>
      <c r="H8" s="12">
        <f t="shared" si="2"/>
        <v>8250</v>
      </c>
    </row>
    <row r="9" spans="1:8" ht="12" customHeight="1">
      <c r="A9" s="52" t="s">
        <v>83</v>
      </c>
      <c r="B9" s="53"/>
      <c r="C9" s="53"/>
      <c r="D9" s="53"/>
      <c r="E9" s="53"/>
      <c r="F9" s="53"/>
      <c r="G9" s="53"/>
      <c r="H9" s="54"/>
    </row>
    <row r="10" spans="1:8">
      <c r="A10" s="55"/>
      <c r="B10" s="45"/>
      <c r="C10" s="45"/>
      <c r="D10" s="45"/>
      <c r="E10" s="45"/>
      <c r="F10" s="45"/>
      <c r="G10" s="45"/>
      <c r="H10" s="56"/>
    </row>
    <row r="11" spans="1:8">
      <c r="A11" s="55"/>
      <c r="B11" s="45"/>
      <c r="C11" s="45"/>
      <c r="D11" s="45"/>
      <c r="E11" s="45"/>
      <c r="F11" s="45"/>
      <c r="G11" s="45"/>
      <c r="H11" s="56"/>
    </row>
    <row r="12" spans="1:8" ht="30.75" customHeight="1">
      <c r="A12" s="57"/>
      <c r="B12" s="58"/>
      <c r="C12" s="58"/>
      <c r="D12" s="58"/>
      <c r="E12" s="58"/>
      <c r="F12" s="58"/>
      <c r="G12" s="58"/>
      <c r="H12" s="59"/>
    </row>
    <row r="13" spans="1:8">
      <c r="A13" s="60"/>
      <c r="B13" s="60"/>
      <c r="C13" s="60"/>
      <c r="D13" s="60"/>
      <c r="E13" s="61"/>
      <c r="F13" s="52" t="s">
        <v>86</v>
      </c>
      <c r="G13" s="53"/>
      <c r="H13" s="54"/>
    </row>
    <row r="14" spans="1:8">
      <c r="A14" s="62"/>
      <c r="B14" s="62"/>
      <c r="C14" s="62"/>
      <c r="D14" s="62"/>
      <c r="E14" s="63"/>
      <c r="F14" s="55"/>
      <c r="G14" s="45"/>
      <c r="H14" s="56"/>
    </row>
    <row r="15" spans="1:8">
      <c r="A15" s="62"/>
      <c r="B15" s="62"/>
      <c r="C15" s="62"/>
      <c r="D15" s="62"/>
      <c r="E15" s="63"/>
      <c r="F15" s="57"/>
      <c r="G15" s="58"/>
      <c r="H15" s="59"/>
    </row>
  </sheetData>
  <mergeCells count="4">
    <mergeCell ref="A2:H2"/>
    <mergeCell ref="A9:H12"/>
    <mergeCell ref="F13:H15"/>
    <mergeCell ref="A13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topLeftCell="A2" workbookViewId="0">
      <selection activeCell="I22" sqref="I22"/>
    </sheetView>
  </sheetViews>
  <sheetFormatPr defaultRowHeight="15"/>
  <cols>
    <col min="6" max="7" width="12.140625" bestFit="1" customWidth="1"/>
  </cols>
  <sheetData>
    <row r="1" spans="1:7" hidden="1"/>
    <row r="2" spans="1:7" ht="0.75" customHeight="1">
      <c r="A2" s="39" t="s">
        <v>94</v>
      </c>
      <c r="B2" s="64"/>
      <c r="C2" s="64"/>
      <c r="D2" s="64"/>
      <c r="E2" s="64"/>
      <c r="F2" s="64"/>
      <c r="G2" s="64"/>
    </row>
    <row r="3" spans="1:7">
      <c r="A3" s="64"/>
      <c r="B3" s="64"/>
      <c r="C3" s="64"/>
      <c r="D3" s="64"/>
      <c r="E3" s="64"/>
      <c r="F3" s="64"/>
      <c r="G3" s="64"/>
    </row>
    <row r="4" spans="1:7" ht="30">
      <c r="A4" s="6" t="s">
        <v>0</v>
      </c>
      <c r="B4" s="7" t="s">
        <v>55</v>
      </c>
      <c r="C4" s="6" t="s">
        <v>56</v>
      </c>
      <c r="D4" s="7" t="s">
        <v>57</v>
      </c>
      <c r="E4" s="7" t="s">
        <v>58</v>
      </c>
      <c r="F4" s="7" t="s">
        <v>59</v>
      </c>
      <c r="G4" s="7" t="s">
        <v>60</v>
      </c>
    </row>
    <row r="5" spans="1:7">
      <c r="A5" s="6">
        <v>1</v>
      </c>
      <c r="B5" s="6" t="s">
        <v>61</v>
      </c>
      <c r="C5" s="6">
        <v>100000</v>
      </c>
      <c r="D5" s="6">
        <v>3</v>
      </c>
      <c r="E5" s="6">
        <v>13</v>
      </c>
      <c r="F5" s="12">
        <f>(C5*D5*E5)/100</f>
        <v>39000</v>
      </c>
      <c r="G5" s="12">
        <f>SUM(C5+F5)</f>
        <v>139000</v>
      </c>
    </row>
    <row r="6" spans="1:7">
      <c r="A6" s="6">
        <v>2</v>
      </c>
      <c r="B6" s="6" t="s">
        <v>43</v>
      </c>
      <c r="C6" s="6">
        <v>250000</v>
      </c>
      <c r="D6" s="6">
        <v>2</v>
      </c>
      <c r="E6" s="6">
        <v>14</v>
      </c>
      <c r="F6" s="12">
        <f t="shared" ref="F6:F9" si="0">(C6*D6*E6)/100</f>
        <v>70000</v>
      </c>
      <c r="G6" s="12">
        <f t="shared" ref="G6:G9" si="1">SUM(C6+F6)</f>
        <v>320000</v>
      </c>
    </row>
    <row r="7" spans="1:7">
      <c r="A7" s="6">
        <v>3</v>
      </c>
      <c r="B7" s="6" t="s">
        <v>62</v>
      </c>
      <c r="C7" s="6">
        <v>75000</v>
      </c>
      <c r="D7" s="6">
        <v>4</v>
      </c>
      <c r="E7" s="6">
        <v>13</v>
      </c>
      <c r="F7" s="12">
        <f t="shared" si="0"/>
        <v>39000</v>
      </c>
      <c r="G7" s="12">
        <f t="shared" si="1"/>
        <v>114000</v>
      </c>
    </row>
    <row r="8" spans="1:7">
      <c r="A8" s="6">
        <v>4</v>
      </c>
      <c r="B8" s="6" t="s">
        <v>63</v>
      </c>
      <c r="C8" s="6">
        <v>100000</v>
      </c>
      <c r="D8" s="6">
        <v>3</v>
      </c>
      <c r="E8" s="6">
        <v>36</v>
      </c>
      <c r="F8" s="12">
        <f t="shared" si="0"/>
        <v>108000</v>
      </c>
      <c r="G8" s="12">
        <f t="shared" si="1"/>
        <v>208000</v>
      </c>
    </row>
    <row r="9" spans="1:7">
      <c r="A9" s="6">
        <v>5</v>
      </c>
      <c r="B9" s="6" t="s">
        <v>39</v>
      </c>
      <c r="C9" s="6">
        <v>25000</v>
      </c>
      <c r="D9" s="6">
        <v>2</v>
      </c>
      <c r="E9" s="6">
        <v>20</v>
      </c>
      <c r="F9" s="12">
        <f t="shared" si="0"/>
        <v>10000</v>
      </c>
      <c r="G9" s="12">
        <f t="shared" si="1"/>
        <v>35000</v>
      </c>
    </row>
    <row r="10" spans="1:7" ht="22.5" customHeight="1">
      <c r="A10" s="52" t="s">
        <v>84</v>
      </c>
      <c r="B10" s="53"/>
      <c r="C10" s="53"/>
      <c r="D10" s="53"/>
      <c r="E10" s="53"/>
      <c r="F10" s="53"/>
      <c r="G10" s="54"/>
    </row>
    <row r="11" spans="1:7">
      <c r="A11" s="55"/>
      <c r="B11" s="45"/>
      <c r="C11" s="45"/>
      <c r="D11" s="45"/>
      <c r="E11" s="45"/>
      <c r="F11" s="45"/>
      <c r="G11" s="56"/>
    </row>
    <row r="12" spans="1:7">
      <c r="A12" s="57"/>
      <c r="B12" s="58"/>
      <c r="C12" s="58"/>
      <c r="D12" s="58"/>
      <c r="E12" s="58"/>
      <c r="F12" s="58"/>
      <c r="G12" s="59"/>
    </row>
    <row r="13" spans="1:7">
      <c r="E13" s="52" t="s">
        <v>85</v>
      </c>
      <c r="F13" s="53"/>
      <c r="G13" s="54"/>
    </row>
    <row r="14" spans="1:7">
      <c r="E14" s="55"/>
      <c r="F14" s="45"/>
      <c r="G14" s="56"/>
    </row>
    <row r="15" spans="1:7">
      <c r="E15" s="57"/>
      <c r="F15" s="58"/>
      <c r="G15" s="59"/>
    </row>
  </sheetData>
  <mergeCells count="3">
    <mergeCell ref="A2:G3"/>
    <mergeCell ref="A10:G12"/>
    <mergeCell ref="E13:G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topLeftCell="A2" workbookViewId="0">
      <selection activeCell="G17" sqref="G17"/>
    </sheetView>
  </sheetViews>
  <sheetFormatPr defaultRowHeight="15"/>
  <cols>
    <col min="1" max="1" width="10.85546875" customWidth="1"/>
    <col min="2" max="2" width="16.28515625" customWidth="1"/>
    <col min="3" max="3" width="10.85546875" customWidth="1"/>
    <col min="6" max="6" width="15.5703125" customWidth="1"/>
  </cols>
  <sheetData>
    <row r="1" spans="1:8" hidden="1"/>
    <row r="2" spans="1:8" ht="18.75">
      <c r="A2" s="39" t="s">
        <v>88</v>
      </c>
      <c r="B2" s="64"/>
      <c r="C2" s="64"/>
      <c r="D2" s="64"/>
      <c r="E2" s="64"/>
      <c r="F2" s="64"/>
    </row>
    <row r="3" spans="1:8" ht="45">
      <c r="A3" s="7" t="s">
        <v>64</v>
      </c>
      <c r="B3" s="6" t="s">
        <v>33</v>
      </c>
      <c r="C3" s="7" t="s">
        <v>65</v>
      </c>
      <c r="D3" s="7" t="s">
        <v>66</v>
      </c>
      <c r="E3" s="7" t="s">
        <v>67</v>
      </c>
      <c r="F3" s="7" t="s">
        <v>68</v>
      </c>
    </row>
    <row r="4" spans="1:8">
      <c r="A4" s="6">
        <v>1001</v>
      </c>
      <c r="B4" s="6" t="s">
        <v>69</v>
      </c>
      <c r="C4" s="11">
        <v>105</v>
      </c>
      <c r="D4" s="11">
        <v>805</v>
      </c>
      <c r="E4" s="11">
        <f>D4-C4</f>
        <v>700</v>
      </c>
      <c r="F4" s="12">
        <f>IF(E4&lt;=20,85,IF(E4&gt;20&amp;E4&lt;=300,(E4-20)*7+85,IF(E4&gt;300,(E4-300)*10+85+280*7)))</f>
        <v>6045</v>
      </c>
    </row>
    <row r="5" spans="1:8">
      <c r="A5" s="6">
        <v>1002</v>
      </c>
      <c r="B5" s="6" t="s">
        <v>70</v>
      </c>
      <c r="C5" s="11">
        <v>205</v>
      </c>
      <c r="D5" s="11">
        <v>1025</v>
      </c>
      <c r="E5" s="11">
        <f t="shared" ref="E5:E7" si="0">D5-C5</f>
        <v>820</v>
      </c>
      <c r="F5" s="12">
        <f t="shared" ref="F5:F7" si="1">IF(E5&lt;=20,85,IF(E5&gt;20&amp;E5&lt;=300,(E5-20)*7+85,IF(E5&gt;300,(E5-300)*10+85+280*7)))</f>
        <v>7245</v>
      </c>
    </row>
    <row r="6" spans="1:8">
      <c r="A6" s="6">
        <v>1003</v>
      </c>
      <c r="B6" s="6" t="s">
        <v>71</v>
      </c>
      <c r="C6" s="11">
        <v>504</v>
      </c>
      <c r="D6" s="11">
        <v>7085</v>
      </c>
      <c r="E6" s="11">
        <f t="shared" si="0"/>
        <v>6581</v>
      </c>
      <c r="F6" s="12">
        <f t="shared" si="1"/>
        <v>64855</v>
      </c>
      <c r="H6" t="s">
        <v>87</v>
      </c>
    </row>
    <row r="7" spans="1:8">
      <c r="A7" s="6">
        <v>1004</v>
      </c>
      <c r="B7" s="6" t="s">
        <v>76</v>
      </c>
      <c r="C7" s="11">
        <v>5</v>
      </c>
      <c r="D7" s="11">
        <v>8000</v>
      </c>
      <c r="E7" s="11">
        <f t="shared" si="0"/>
        <v>7995</v>
      </c>
      <c r="F7" s="12">
        <f t="shared" si="1"/>
        <v>78995</v>
      </c>
    </row>
    <row r="8" spans="1:8">
      <c r="A8" s="52" t="s">
        <v>89</v>
      </c>
      <c r="B8" s="53"/>
      <c r="C8" s="53"/>
      <c r="D8" s="53"/>
      <c r="E8" s="53"/>
      <c r="F8" s="54"/>
    </row>
    <row r="9" spans="1:8">
      <c r="A9" s="55"/>
      <c r="B9" s="45"/>
      <c r="C9" s="45"/>
      <c r="D9" s="45"/>
      <c r="E9" s="45"/>
      <c r="F9" s="56"/>
    </row>
    <row r="10" spans="1:8" ht="51.75" customHeight="1">
      <c r="A10" s="57"/>
      <c r="B10" s="58"/>
      <c r="C10" s="58"/>
      <c r="D10" s="58"/>
      <c r="E10" s="58"/>
      <c r="F10" s="59"/>
    </row>
    <row r="11" spans="1:8">
      <c r="A11" s="60"/>
      <c r="B11" s="60"/>
      <c r="C11" s="61"/>
      <c r="D11" s="52" t="s">
        <v>90</v>
      </c>
      <c r="E11" s="53"/>
      <c r="F11" s="54"/>
    </row>
    <row r="12" spans="1:8">
      <c r="A12" s="62"/>
      <c r="B12" s="62"/>
      <c r="C12" s="63"/>
      <c r="D12" s="55"/>
      <c r="E12" s="45"/>
      <c r="F12" s="56"/>
    </row>
    <row r="13" spans="1:8">
      <c r="A13" s="62"/>
      <c r="B13" s="62"/>
      <c r="C13" s="63"/>
      <c r="D13" s="57"/>
      <c r="E13" s="58"/>
      <c r="F13" s="59"/>
    </row>
  </sheetData>
  <mergeCells count="4">
    <mergeCell ref="A2:F2"/>
    <mergeCell ref="A8:F10"/>
    <mergeCell ref="D11:F13"/>
    <mergeCell ref="A11:C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2022-06-21T12:50:17Z</cp:lastPrinted>
  <dcterms:created xsi:type="dcterms:W3CDTF">2022-06-20T14:07:28Z</dcterms:created>
  <dcterms:modified xsi:type="dcterms:W3CDTF">2022-06-22T15:38:54Z</dcterms:modified>
</cp:coreProperties>
</file>